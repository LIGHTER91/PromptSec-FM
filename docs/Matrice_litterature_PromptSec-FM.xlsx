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f08fc570ec4c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rice_methodes" sheetId="1" r:id="R8302bf38fd074e3e"/>
    <x:sheet xmlns:r="http://schemas.openxmlformats.org/officeDocument/2006/relationships" name="Benchmarks_datasets" sheetId="2" r:id="R33fde99cbe994371"/>
    <x:sheet xmlns:r="http://schemas.openxmlformats.org/officeDocument/2006/relationships" name="Synthese" sheetId="3" r:id="Re279c70adc7c4b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1"/>
      <x:color rgb="FF1F1F1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5B9BD5"/>
      </x:patternFill>
    </x:fill>
    <x:fill>
      <x:patternFill patternType="solid">
        <x:fgColor rgb="FF70AD47"/>
      </x:patternFill>
    </x:fill>
    <x:fill>
      <x:patternFill patternType="solid">
        <x:fgColor rgb="FFF4B183"/>
      </x:patternFill>
    </x:fill>
  </x:fills>
  <x:borders count="50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15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2" fillId="3" borderId="10" xfId="0" applyNumberFormat="1" applyFont="1" applyFill="1" applyBorder="1" applyAlignment="1">
      <x:alignment horizontal="center" vertical="center" wrapText="1"/>
    </x:xf>
    <x:xf numFmtId="0" fontId="2" fillId="3" borderId="11" xfId="0" applyNumberFormat="1" applyFont="1" applyFill="1" applyBorder="1" applyAlignment="1">
      <x:alignment horizontal="center" vertical="center" wrapText="1"/>
    </x:xf>
    <x:xf numFmtId="0" fontId="2" fillId="3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horizontal="center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2" fillId="4" borderId="18" xfId="0" applyNumberFormat="1" applyFont="1" applyFill="1" applyBorder="1" applyAlignment="1">
      <x:alignment horizontal="center" vertical="center" wrapText="1"/>
    </x:xf>
    <x:xf numFmtId="0" fontId="2" fillId="4" borderId="19" xfId="0" applyNumberFormat="1" applyFont="1" applyFill="1" applyBorder="1" applyAlignment="1">
      <x:alignment horizontal="center" vertical="center" wrapText="1"/>
    </x:xf>
    <x:xf numFmtId="0" fontId="2" fillId="4" borderId="20" xfId="0" applyNumberFormat="1" applyFont="1" applyFill="1" applyBorder="1" applyAlignment="1">
      <x:alignment horizontal="center" vertical="center"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24" xfId="0" applyNumberFormat="1" applyFont="1" applyFill="1" applyBorder="1" applyAlignment="1">
      <x:alignment wrapText="1"/>
    </x:xf>
    <x:xf numFmtId="0" fontId="0" fillId="0" borderId="25" xfId="0" applyNumberFormat="1" applyFont="1" applyFill="1" applyBorder="1" applyAlignment="1">
      <x:alignment wrapText="1"/>
    </x:xf>
    <x:xf numFmtId="0" fontId="2" fillId="4" borderId="26" xfId="0" applyNumberFormat="1" applyFont="1" applyFill="1" applyBorder="1" applyAlignment="1">
      <x:alignment horizontal="center" vertical="center" wrapText="1"/>
    </x:xf>
    <x:xf numFmtId="0" fontId="2" fillId="4" borderId="27" xfId="0" applyNumberFormat="1" applyFont="1" applyFill="1" applyBorder="1" applyAlignment="1">
      <x:alignment horizontal="center" vertical="center" wrapText="1"/>
    </x:xf>
    <x:xf numFmtId="0" fontId="2" fillId="4" borderId="28" xfId="0" applyNumberFormat="1" applyFont="1" applyFill="1" applyBorder="1" applyAlignment="1">
      <x:alignment horizontal="center" vertical="center" wrapText="1"/>
    </x:xf>
    <x:xf numFmtId="0" fontId="0" fillId="0" borderId="29" xfId="0" applyNumberFormat="1" applyFont="1" applyFill="1" applyBorder="1" applyAlignment="1">
      <x:alignment wrapText="1"/>
    </x:xf>
    <x:xf numFmtId="0" fontId="0" fillId="0" borderId="30" xfId="0" applyNumberFormat="1" applyFont="1" applyFill="1" applyBorder="1" applyAlignment="1">
      <x:alignment wrapText="1"/>
    </x:xf>
    <x:xf numFmtId="0" fontId="0" fillId="0" borderId="31" xfId="0" applyNumberFormat="1" applyFont="1" applyFill="1" applyBorder="1" applyAlignment="1">
      <x:alignment wrapText="1"/>
    </x:xf>
    <x:xf numFmtId="0" fontId="0" fillId="0" borderId="32" xfId="0" applyNumberFormat="1" applyFont="1" applyFill="1" applyBorder="1" applyAlignment="1">
      <x:alignment wrapText="1"/>
    </x:xf>
    <x:xf numFmtId="0" fontId="0" fillId="0" borderId="33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2" fillId="3" borderId="2" xfId="0" applyNumberFormat="1" applyFont="1" applyFill="1" applyBorder="1" applyAlignment="1">
      <x:alignment horizontal="center"/>
    </x:xf>
    <x:xf numFmtId="0" fontId="2" fillId="3" borderId="4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9" xfId="0" applyNumberFormat="1" applyFont="1" applyFill="1" applyBorder="1"/>
    <x:xf numFmtId="0" fontId="2" fillId="3" borderId="10" xfId="0" applyNumberFormat="1" applyFont="1" applyFill="1" applyBorder="1" applyAlignment="1">
      <x:alignment horizontal="center"/>
    </x:xf>
    <x:xf numFmtId="0" fontId="2" fillId="3" borderId="12" xfId="0" applyNumberFormat="1" applyFont="1" applyFill="1" applyBorder="1" applyAlignment="1">
      <x:alignment horizontal="center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7" xfId="0" applyNumberFormat="1" applyFont="1" applyFill="1" applyBorder="1"/>
    <x:xf numFmtId="0" fontId="2" fillId="4" borderId="18" xfId="0" applyNumberFormat="1" applyFont="1" applyFill="1" applyBorder="1" applyAlignment="1">
      <x:alignment horizontal="center" wrapText="1"/>
    </x:xf>
    <x:xf numFmtId="0" fontId="2" fillId="4" borderId="19" xfId="0" applyNumberFormat="1" applyFont="1" applyFill="1" applyBorder="1" applyAlignment="1">
      <x:alignment horizontal="center" wrapText="1"/>
    </x:xf>
    <x:xf numFmtId="0" fontId="2" fillId="4" borderId="20" xfId="0" applyNumberFormat="1" applyFont="1" applyFill="1" applyBorder="1" applyAlignment="1">
      <x:alignment horizontal="center" wrapText="1"/>
    </x:xf>
    <x:xf numFmtId="0" fontId="2" fillId="4" borderId="26" xfId="0" applyNumberFormat="1" applyFont="1" applyFill="1" applyBorder="1" applyAlignment="1">
      <x:alignment horizontal="center" wrapText="1"/>
    </x:xf>
    <x:xf numFmtId="0" fontId="2" fillId="4" borderId="27" xfId="0" applyNumberFormat="1" applyFont="1" applyFill="1" applyBorder="1" applyAlignment="1">
      <x:alignment horizontal="center" wrapText="1"/>
    </x:xf>
    <x:xf numFmtId="0" fontId="2" fillId="4" borderId="28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horizontal="center"/>
    </x:xf>
    <x:xf numFmtId="0" fontId="0" fillId="0" borderId="34" xfId="0" applyNumberFormat="1" applyFont="1" applyFill="1" applyBorder="1" applyAlignment="1">
      <x:alignment wrapText="1"/>
    </x:xf>
    <x:xf numFmtId="0" fontId="0" fillId="0" borderId="35" xfId="0" applyNumberFormat="1" applyFont="1" applyFill="1" applyBorder="1" applyAlignment="1">
      <x:alignment wrapText="1"/>
    </x:xf>
    <x:xf numFmtId="0" fontId="0" fillId="0" borderId="36" xfId="0" applyNumberFormat="1" applyFont="1" applyFill="1" applyBorder="1" applyAlignment="1">
      <x:alignment wrapText="1"/>
    </x:xf>
    <x:xf numFmtId="0" fontId="0" fillId="0" borderId="37" xfId="0" applyNumberFormat="1" applyFont="1" applyFill="1" applyBorder="1" applyAlignment="1">
      <x:alignment wrapText="1"/>
    </x:xf>
    <x:xf numFmtId="0" fontId="0" fillId="0" borderId="38" xfId="0" applyNumberFormat="1" applyFont="1" applyFill="1" applyBorder="1" applyAlignment="1">
      <x:alignment wrapText="1"/>
    </x:xf>
    <x:xf numFmtId="0" fontId="0" fillId="0" borderId="39" xfId="0" applyNumberFormat="1" applyFont="1" applyFill="1" applyBorder="1" applyAlignment="1">
      <x:alignment wrapText="1"/>
    </x:xf>
    <x:xf numFmtId="0" fontId="0" fillId="0" borderId="40" xfId="0" applyNumberFormat="1" applyFont="1" applyFill="1" applyBorder="1" applyAlignment="1">
      <x:alignment wrapText="1"/>
    </x:xf>
    <x:xf numFmtId="0" fontId="0" fillId="0" borderId="41" xfId="0" applyNumberFormat="1" applyFont="1" applyFill="1" applyBorder="1" applyAlignment="1">
      <x:alignment wrapText="1"/>
    </x:xf>
    <x:xf numFmtId="0" fontId="0" fillId="0" borderId="42" xfId="0" applyNumberFormat="1" applyFont="1" applyFill="1" applyBorder="1" applyAlignment="1">
      <x:alignment wrapText="1"/>
    </x:xf>
    <x:xf numFmtId="0" fontId="0" fillId="0" borderId="43" xfId="0" applyNumberFormat="1" applyFont="1" applyFill="1" applyBorder="1" applyAlignment="1">
      <x:alignment wrapText="1"/>
    </x:xf>
    <x:xf numFmtId="0" fontId="0" fillId="0" borderId="44" xfId="0" applyNumberFormat="1" applyFont="1" applyFill="1" applyBorder="1" applyAlignment="1">
      <x:alignment wrapText="1"/>
    </x:xf>
    <x:xf numFmtId="0" fontId="0" fillId="0" borderId="45" xfId="0" applyNumberFormat="1" applyFont="1" applyFill="1" applyBorder="1" applyAlignment="1">
      <x:alignment wrapText="1"/>
    </x:xf>
    <x:xf numFmtId="0" fontId="0" fillId="0" borderId="46" xfId="0" applyNumberFormat="1" applyFont="1" applyFill="1" applyBorder="1" applyAlignment="1">
      <x:alignment wrapText="1"/>
    </x:xf>
    <x:xf numFmtId="0" fontId="0" fillId="0" borderId="47" xfId="0" applyNumberFormat="1" applyFont="1" applyFill="1" applyBorder="1" applyAlignment="1">
      <x:alignment wrapText="1"/>
    </x:xf>
    <x:xf numFmtId="0" fontId="0" fillId="0" borderId="48" xfId="0" applyNumberFormat="1" applyFont="1" applyFill="1" applyBorder="1" applyAlignment="1">
      <x:alignment wrapText="1"/>
    </x:xf>
    <x:xf numFmtId="0" fontId="0" fillId="0" borderId="49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/>
    </x:xf>
    <x:xf numFmtId="0" fontId="2" fillId="3" borderId="2" xfId="0" applyNumberFormat="1" applyFont="1" applyFill="1" applyBorder="1" applyAlignment="1">
      <x:alignment horizontal="center" vertical="top" wrapText="1"/>
    </x:xf>
    <x:xf numFmtId="0" fontId="2" fillId="3" borderId="3" xfId="0" applyNumberFormat="1" applyFont="1" applyFill="1" applyBorder="1" applyAlignment="1">
      <x:alignment horizontal="center" vertical="top" wrapText="1"/>
    </x:xf>
    <x:xf numFmtId="0" fontId="2" fillId="3" borderId="4" xfId="0" applyNumberFormat="1" applyFont="1" applyFill="1" applyBorder="1" applyAlignment="1">
      <x:alignment horizontal="center"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/>
    </x:xf>
    <x:xf numFmtId="0" fontId="2" fillId="3" borderId="10" xfId="0" applyNumberFormat="1" applyFont="1" applyFill="1" applyBorder="1" applyAlignment="1">
      <x:alignment horizontal="center" vertical="top" wrapText="1"/>
    </x:xf>
    <x:xf numFmtId="0" fontId="2" fillId="3" borderId="11" xfId="0" applyNumberFormat="1" applyFont="1" applyFill="1" applyBorder="1" applyAlignment="1">
      <x:alignment horizontal="center" vertical="top" wrapText="1"/>
    </x:xf>
    <x:xf numFmtId="0" fontId="2" fillId="3" borderId="12" xfId="0" applyNumberFormat="1" applyFont="1" applyFill="1" applyBorder="1" applyAlignment="1">
      <x:alignment horizontal="center"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2" fillId="4" borderId="18" xfId="0" applyNumberFormat="1" applyFont="1" applyFill="1" applyBorder="1" applyAlignment="1">
      <x:alignment horizontal="center" vertical="top" wrapText="1"/>
    </x:xf>
    <x:xf numFmtId="0" fontId="2" fillId="4" borderId="19" xfId="0" applyNumberFormat="1" applyFont="1" applyFill="1" applyBorder="1" applyAlignment="1">
      <x:alignment horizontal="center" vertical="top" wrapText="1"/>
    </x:xf>
    <x:xf numFmtId="0" fontId="2" fillId="4" borderId="20" xfId="0" applyNumberFormat="1" applyFont="1" applyFill="1" applyBorder="1" applyAlignment="1">
      <x:alignment horizontal="center"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22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0" fontId="0" fillId="0" borderId="24" xfId="0" applyNumberFormat="1" applyFont="1" applyFill="1" applyBorder="1" applyAlignment="1">
      <x:alignment vertical="top" wrapText="1"/>
    </x:xf>
    <x:xf numFmtId="0" fontId="0" fillId="0" borderId="25" xfId="0" applyNumberFormat="1" applyFont="1" applyFill="1" applyBorder="1" applyAlignment="1">
      <x:alignment vertical="top" wrapText="1"/>
    </x:xf>
    <x:xf numFmtId="0" fontId="2" fillId="4" borderId="26" xfId="0" applyNumberFormat="1" applyFont="1" applyFill="1" applyBorder="1" applyAlignment="1">
      <x:alignment horizontal="center" vertical="top" wrapText="1"/>
    </x:xf>
    <x:xf numFmtId="0" fontId="2" fillId="4" borderId="27" xfId="0" applyNumberFormat="1" applyFont="1" applyFill="1" applyBorder="1" applyAlignment="1">
      <x:alignment horizontal="center" vertical="top" wrapText="1"/>
    </x:xf>
    <x:xf numFmtId="0" fontId="2" fillId="4" borderId="28" xfId="0" applyNumberFormat="1" applyFont="1" applyFill="1" applyBorder="1" applyAlignment="1">
      <x:alignment horizontal="center" vertical="top" wrapText="1"/>
    </x:xf>
    <x:xf numFmtId="0" fontId="0" fillId="0" borderId="29" xfId="0" applyNumberFormat="1" applyFont="1" applyFill="1" applyBorder="1" applyAlignment="1">
      <x:alignment vertical="top" wrapText="1"/>
    </x:xf>
    <x:xf numFmtId="0" fontId="0" fillId="0" borderId="30" xfId="0" applyNumberFormat="1" applyFont="1" applyFill="1" applyBorder="1" applyAlignment="1">
      <x:alignment vertical="top" wrapText="1"/>
    </x:xf>
    <x:xf numFmtId="0" fontId="0" fillId="0" borderId="31" xfId="0" applyNumberFormat="1" applyFont="1" applyFill="1" applyBorder="1" applyAlignment="1">
      <x:alignment vertical="top" wrapText="1"/>
    </x:xf>
    <x:xf numFmtId="0" fontId="0" fillId="0" borderId="32" xfId="0" applyNumberFormat="1" applyFont="1" applyFill="1" applyBorder="1" applyAlignment="1">
      <x:alignment vertical="top" wrapText="1"/>
    </x:xf>
    <x:xf numFmtId="0" fontId="0" fillId="0" borderId="33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2" fillId="3" borderId="2" xfId="0" applyNumberFormat="1" applyFont="1" applyFill="1" applyBorder="1" applyAlignment="1">
      <x:alignment horizontal="center" vertical="top"/>
    </x:xf>
    <x:xf numFmtId="0" fontId="2" fillId="3" borderId="4" xfId="0" applyNumberFormat="1" applyFont="1" applyFill="1" applyBorder="1" applyAlignment="1">
      <x:alignment horizontal="center" vertical="top"/>
    </x:xf>
    <x:xf numFmtId="0" fontId="0" fillId="0" borderId="5" xfId="0" applyNumberFormat="1" applyFont="1" applyFill="1" applyBorder="1" applyAlignment="1">
      <x:alignment vertical="top"/>
    </x:xf>
    <x:xf numFmtId="0" fontId="0" fillId="0" borderId="6" xfId="0" applyNumberFormat="1" applyFont="1" applyFill="1" applyBorder="1" applyAlignment="1">
      <x:alignment vertical="top"/>
    </x:xf>
    <x:xf numFmtId="0" fontId="0" fillId="0" borderId="7" xfId="0" applyNumberFormat="1" applyFont="1" applyFill="1" applyBorder="1" applyAlignment="1">
      <x:alignment vertical="top"/>
    </x:xf>
    <x:xf numFmtId="0" fontId="0" fillId="0" borderId="9" xfId="0" applyNumberFormat="1" applyFont="1" applyFill="1" applyBorder="1" applyAlignment="1">
      <x:alignment vertical="top"/>
    </x:xf>
    <x:xf numFmtId="0" fontId="3" fillId="5" borderId="0" xfId="0" applyNumberFormat="1" applyFont="1" applyFill="1" applyBorder="1" applyAlignment="1">
      <x:alignment horizontal="center" vertical="top"/>
    </x:xf>
    <x:xf numFmtId="0" fontId="0" fillId="0" borderId="34" xfId="0" applyNumberFormat="1" applyFont="1" applyFill="1" applyBorder="1" applyAlignment="1">
      <x:alignment vertical="top" wrapText="1"/>
    </x:xf>
    <x:xf numFmtId="0" fontId="0" fillId="0" borderId="35" xfId="0" applyNumberFormat="1" applyFont="1" applyFill="1" applyBorder="1" applyAlignment="1">
      <x:alignment vertical="top" wrapText="1"/>
    </x:xf>
    <x:xf numFmtId="0" fontId="0" fillId="0" borderId="36" xfId="0" applyNumberFormat="1" applyFont="1" applyFill="1" applyBorder="1" applyAlignment="1">
      <x:alignment vertical="top" wrapText="1"/>
    </x:xf>
    <x:xf numFmtId="0" fontId="0" fillId="0" borderId="37" xfId="0" applyNumberFormat="1" applyFont="1" applyFill="1" applyBorder="1" applyAlignment="1">
      <x:alignment vertical="top" wrapText="1"/>
    </x:xf>
    <x:xf numFmtId="0" fontId="0" fillId="0" borderId="38" xfId="0" applyNumberFormat="1" applyFont="1" applyFill="1" applyBorder="1" applyAlignment="1">
      <x:alignment vertical="top" wrapText="1"/>
    </x:xf>
    <x:xf numFmtId="0" fontId="0" fillId="0" borderId="39" xfId="0" applyNumberFormat="1" applyFont="1" applyFill="1" applyBorder="1" applyAlignment="1">
      <x:alignment vertical="top" wrapText="1"/>
    </x:xf>
    <x:xf numFmtId="0" fontId="0" fillId="0" borderId="40" xfId="0" applyNumberFormat="1" applyFont="1" applyFill="1" applyBorder="1" applyAlignment="1">
      <x:alignment vertical="top" wrapText="1"/>
    </x:xf>
    <x:xf numFmtId="0" fontId="0" fillId="0" borderId="41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ont>
        <x:b/>
      </x:font>
      <x:fill>
        <x:patternFill patternType="solid">
          <x:bgColor rgb="FFF4CCCC"/>
        </x:patternFill>
      </x:fill>
    </x:dxf>
    <x:dxf>
      <x:font>
        <x:b/>
      </x:font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3a3ada5bd44104" /><Relationship Type="http://schemas.openxmlformats.org/officeDocument/2006/relationships/theme" Target="/xl/theme/theme1.xml" Id="Rb47d23b05e4741da" /><Relationship Type="http://schemas.openxmlformats.org/officeDocument/2006/relationships/sharedStrings" Target="/xl/sharedStrings.xml" Id="Rc4b46fde932f4c68" /><Relationship Type="http://schemas.openxmlformats.org/officeDocument/2006/relationships/worksheet" Target="/xl/worksheets/sheet1.xml" Id="R8302bf38fd074e3e" /><Relationship Type="http://schemas.openxmlformats.org/officeDocument/2006/relationships/worksheet" Target="/xl/worksheets/sheet2.xml" Id="R33fde99cbe994371" /><Relationship Type="http://schemas.openxmlformats.org/officeDocument/2006/relationships/worksheet" Target="/xl/worksheets/sheet3.xml" Id="Re279c70adc7c4b36" /></Relationships>
</file>

<file path=xl/tables/table1.xml><?xml version="1.0" encoding="utf-8"?>
<x:table xmlns:x="http://schemas.openxmlformats.org/spreadsheetml/2006/main" id="1" name="LiteratureMethodsTable" displayName="LiteratureMethodsTable" ref="A2:R20" headerRowCount="1">
  <x:tableColumns count="18">
    <x:tableColumn id="1" name="ID"/>
    <x:tableColumn id="2" name="Référence"/>
    <x:tableColumn id="3" name="Année"/>
    <x:tableColumn id="4" name="Statut / venue"/>
    <x:tableColumn id="5" name="Famille"/>
    <x:tableColumn id="6" name="Menace ciblée"/>
    <x:tableColumn id="7" name="Entrée analysée"/>
    <x:tableColumn id="8" name="Méthode / représentation"/>
    <x:tableColumn id="9" name="Labels / sortie"/>
    <x:tableColumn id="10" name="Granularité"/>
    <x:tableColumn id="11" name="Benchmarks / données"/>
    <x:tableColumn id="12" name="Métriques mises en avant"/>
    <x:tableColumn id="13" name="Résultat clé"/>
    <x:tableColumn id="14" name="Code / données"/>
    <x:tableColumn id="15" name="Limites principales"/>
    <x:tableColumn id="16" name="Pertinence pour PromptSec-FM"/>
    <x:tableColumn id="17" name="Priorité"/>
    <x:tableColumn id="18" name="Source principale"/>
  </x:tableColumns>
  <x:tableStyleInfo name="TableStyleMedium2" showRowStripes="1"/>
</x:table>
</file>

<file path=xl/tables/table2.xml><?xml version="1.0" encoding="utf-8"?>
<x:table xmlns:x="http://schemas.openxmlformats.org/spreadsheetml/2006/main" id="2" name="BenchmarksTable" displayName="BenchmarksTable" ref="A2:L15" headerRowCount="1">
  <x:tableColumns count="12">
    <x:tableColumn id="1" name="ID"/>
    <x:tableColumn id="2" name="Benchmark / dataset"/>
    <x:tableColumn id="3" name="Année"/>
    <x:tableColumn id="4" name="Type"/>
    <x:tableColumn id="5" name="Menace"/>
    <x:tableColumn id="6" name="Unité / granularité"/>
    <x:tableColumn id="7" name="Labels / objectif"/>
    <x:tableColumn id="8" name="Contexte / domaines"/>
    <x:tableColumn id="9" name="Point fort"/>
    <x:tableColumn id="10" name="Limite à surveiller"/>
    <x:tableColumn id="11" name="Code / données"/>
    <x:tableColumn id="12" name="Source principa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204c06fff00495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25b065aac39435e" /></Relationships>
</file>

<file path=xl/worksheets/sheet1.xml><?xml version="1.0" encoding="utf-8"?>
<x:worksheet xmlns:x="http://schemas.openxmlformats.org/spreadsheetml/2006/main">
  <x:sheetFormatPr defaultRowHeight="15"/>
  <x:cols>
    <x:col min="1" max="1" width="5" hidden="0" customWidth="1"/>
    <x:col min="2" max="2" width="42" hidden="0" customWidth="1"/>
    <x:col min="3" max="3" width="8" hidden="0" customWidth="1"/>
    <x:col min="4" max="4" width="22" hidden="0" customWidth="1"/>
    <x:col min="5" max="5" width="25" hidden="0" customWidth="1"/>
    <x:col min="6" max="6" width="27" hidden="0" customWidth="1"/>
    <x:col min="7" max="7" width="28" hidden="0" customWidth="1"/>
    <x:col min="8" max="8" width="38" hidden="0" customWidth="1"/>
    <x:col min="9" max="9" width="29" hidden="0" customWidth="1"/>
    <x:col min="10" max="10" width="17" hidden="0" customWidth="1"/>
    <x:col min="11" max="11" width="29" hidden="0" customWidth="1"/>
    <x:col min="12" max="12" width="25" hidden="0" customWidth="1"/>
    <x:col min="13" max="13" width="38" hidden="0" customWidth="1"/>
    <x:col min="14" max="14" width="34" hidden="0" customWidth="1"/>
    <x:col min="15" max="15" width="38" hidden="0" customWidth="1"/>
    <x:col min="16" max="16" width="39" hidden="0" customWidth="1"/>
    <x:col min="17" max="17" width="12" hidden="0" customWidth="1"/>
    <x:col min="18" max="18" width="42" hidden="0" customWidth="1"/>
  </x:cols>
  <x:sheetData>
    <x:row r="1" ht="28" customHeight="1">
      <x:c r="A1" s="106" t="str">
        <x:v>Matrice de littérature — Détection des prompt injections (mise à jour : 11 juillet 2026)</x:v>
      </x:c>
      <x:c r="B1" s="106"/>
      <x:c r="C1" s="106"/>
      <x:c r="D1" s="106"/>
      <x:c r="E1" s="106"/>
      <x:c r="F1" s="106"/>
      <x:c r="G1" s="106"/>
      <x:c r="H1" s="106"/>
      <x:c r="I1" s="106"/>
      <x:c r="J1" s="106"/>
      <x:c r="K1" s="106"/>
      <x:c r="L1" s="106"/>
      <x:c r="M1" s="106"/>
      <x:c r="N1" s="106"/>
      <x:c r="O1" s="106"/>
      <x:c r="P1" s="106"/>
      <x:c r="Q1" s="106"/>
      <x:c r="R1" s="106"/>
    </x:row>
    <x:row r="2">
      <x:c r="A2" s="107" t="str">
        <x:v>ID</x:v>
      </x:c>
      <x:c r="B2" s="108" t="str">
        <x:v>Référence</x:v>
      </x:c>
      <x:c r="C2" s="108" t="str">
        <x:v>Année</x:v>
      </x:c>
      <x:c r="D2" s="108" t="str">
        <x:v>Statut / venue</x:v>
      </x:c>
      <x:c r="E2" s="108" t="str">
        <x:v>Famille</x:v>
      </x:c>
      <x:c r="F2" s="108" t="str">
        <x:v>Menace ciblée</x:v>
      </x:c>
      <x:c r="G2" s="108" t="str">
        <x:v>Entrée analysée</x:v>
      </x:c>
      <x:c r="H2" s="108" t="str">
        <x:v>Méthode / représentation</x:v>
      </x:c>
      <x:c r="I2" s="108" t="str">
        <x:v>Labels / sortie</x:v>
      </x:c>
      <x:c r="J2" s="108" t="str">
        <x:v>Granularité</x:v>
      </x:c>
      <x:c r="K2" s="108" t="str">
        <x:v>Benchmarks / données</x:v>
      </x:c>
      <x:c r="L2" s="108" t="str">
        <x:v>Métriques mises en avant</x:v>
      </x:c>
      <x:c r="M2" s="108" t="str">
        <x:v>Résultat clé</x:v>
      </x:c>
      <x:c r="N2" s="108" t="str">
        <x:v>Code / données</x:v>
      </x:c>
      <x:c r="O2" s="108" t="str">
        <x:v>Limites principales</x:v>
      </x:c>
      <x:c r="P2" s="108" t="str">
        <x:v>Pertinence pour PromptSec-FM</x:v>
      </x:c>
      <x:c r="Q2" s="108" t="str">
        <x:v>Priorité</x:v>
      </x:c>
      <x:c r="R2" s="109" t="str">
        <x:v>Source principale</x:v>
      </x:c>
    </x:row>
    <x:row r="3" ht="92" customHeight="1">
      <x:c r="A3" s="110" t="n">
        <x:v>1</x:v>
      </x:c>
      <x:c r="B3" s="111" t="str">
        <x:v>Embedding-based classifiers can detect prompt injection attacks — Ayub &amp; Majumdar</x:v>
      </x:c>
      <x:c r="C3" s="111" t="n">
        <x:v>2024</x:v>
      </x:c>
      <x:c r="D3" s="111" t="str">
        <x:v>CAMLIS 2024</x:v>
      </x:c>
      <x:c r="E3" s="111" t="str">
        <x:v>Embeddings + ML classique</x:v>
      </x:c>
      <x:c r="F3" s="111" t="str">
        <x:v>Injection directe / prompts malveillants</x:v>
      </x:c>
      <x:c r="G3" s="111" t="str">
        <x:v>Prompt seul</x:v>
      </x:c>
      <x:c r="H3" s="111" t="str">
        <x:v>Embeddings (OpenAI, GTE, MiniLM) + Random Forest / XGBoost</x:v>
      </x:c>
      <x:c r="I3" s="111" t="str">
        <x:v>Binaire : bénin / malveillant</x:v>
      </x:c>
      <x:c r="J3" s="111" t="str">
        <x:v>Prompt</x:v>
      </x:c>
      <x:c r="K3" s="111" t="str">
        <x:v>Agrégation de jeux publics de prompts</x:v>
      </x:c>
      <x:c r="L3" s="111" t="str">
        <x:v>Accuracy, précision, rappel, F1</x:v>
      </x:c>
      <x:c r="M3" s="111" t="str">
        <x:v>Montre qu’une baseline embeddings + ML peut dépasser certains encodeurs spécialisés.</x:v>
      </x:c>
      <x:c r="N3" s="111" t="str">
        <x:v>https://github.com/AhsanAyub/malicious-prompt-detection</x:v>
      </x:c>
      <x:c r="O3" s="111" t="str">
        <x:v>Contexte, provenance et alignement de tâche non modélisés ; généralisation OOD limitée.</x:v>
      </x:c>
      <x:c r="P3" s="111" t="str">
        <x:v>Baseline forte et peu coûteuse ; indispensable pour mesurer le gain du modèle de fondation.</x:v>
      </x:c>
      <x:c r="Q3" s="111" t="str">
        <x:v>Élevée</x:v>
      </x:c>
      <x:c r="R3" s="112" t="str">
        <x:v>https://arxiv.org/abs/2410.22284</x:v>
      </x:c>
    </x:row>
    <x:row r="4" ht="92" customHeight="1">
      <x:c r="A4" s="110" t="n">
        <x:v>2</x:v>
      </x:c>
      <x:c r="B4" s="111" t="str">
        <x:v>PromptShield: Deployable Detection for Prompt Injection Attacks — Jacob et al.</x:v>
      </x:c>
      <x:c r="C4" s="111" t="n">
        <x:v>2025</x:v>
      </x:c>
      <x:c r="D4" s="111" t="str">
        <x:v>Publication ACM 2025</x:v>
      </x:c>
      <x:c r="E4" s="111" t="str">
        <x:v>Encodeur fine-tuné / déploiement</x:v>
      </x:c>
      <x:c r="F4" s="111" t="str">
        <x:v>Injection directe et données structurées d’application</x:v>
      </x:c>
      <x:c r="G4" s="111" t="str">
        <x:v>Prompt ou entrée applicative</x:v>
      </x:c>
      <x:c r="H4" s="111" t="str">
        <x:v>Détecteur supervisé entraîné sur données conversationnelles et structurées</x:v>
      </x:c>
      <x:c r="I4" s="111" t="str">
        <x:v>Binaire : injection / non-injection</x:v>
      </x:c>
      <x:c r="J4" s="111" t="str">
        <x:v>Entrée globale</x:v>
      </x:c>
      <x:c r="K4" s="111" t="str">
        <x:v>PromptShield Benchmark</x:v>
      </x:c>
      <x:c r="L4" s="111" t="str">
        <x:v>Recall à faible FPR, ROC/PR, coût de déploiement</x:v>
      </x:c>
      <x:c r="M4" s="111" t="str">
        <x:v>Met l’accent sur le régime à très faible taux de faux positifs et la curation des données.</x:v>
      </x:c>
      <x:c r="N4" s="111" t="str">
        <x:v>Non clairement indiqué dans la publication principale</x:v>
      </x:c>
      <x:c r="O4" s="111" t="str">
        <x:v>Taxonomie surtout binaire ; dépendance à la curation et à la distribution d’entraînement.</x:v>
      </x:c>
      <x:c r="P4" s="111" t="str">
        <x:v>Référence centrale pour la calibration, les seuils et l’évaluation orientée production.</x:v>
      </x:c>
      <x:c r="Q4" s="111" t="str">
        <x:v>Très élevée</x:v>
      </x:c>
      <x:c r="R4" s="112" t="str">
        <x:v>https://arxiv.org/abs/2501.15145</x:v>
      </x:c>
    </x:row>
    <x:row r="5" ht="92" customHeight="1">
      <x:c r="A5" s="110" t="n">
        <x:v>3</x:v>
      </x:c>
      <x:c r="B5" s="111" t="str">
        <x:v>PIGuard: Prompt Injection Guardrail via Mitigating Overdefense for Free — Li et al.</x:v>
      </x:c>
      <x:c r="C5" s="111" t="n">
        <x:v>2025</x:v>
      </x:c>
      <x:c r="D5" s="111" t="str">
        <x:v>ACL 2025</x:v>
      </x:c>
      <x:c r="E5" s="111" t="str">
        <x:v>Guard model / réduction de l’over-defense</x:v>
      </x:c>
      <x:c r="F5" s="111" t="str">
        <x:v>Injection directe + faux positifs sur textes bénins</x:v>
      </x:c>
      <x:c r="G5" s="111" t="str">
        <x:v>Prompt seul</x:v>
      </x:c>
      <x:c r="H5" s="111" t="str">
        <x:v>Modèle de garde entraîné avec stratégie MOF (Mitigating Over-defense for Free)</x:v>
      </x:c>
      <x:c r="I5" s="111" t="str">
        <x:v>Binaire : bénin / injection</x:v>
      </x:c>
      <x:c r="J5" s="111" t="str">
        <x:v>Prompt</x:v>
      </x:c>
      <x:c r="K5" s="111" t="str">
        <x:v>NotInject + benchmarks publics</x:v>
      </x:c>
      <x:c r="L5" s="111" t="str">
        <x:v>Accuracy moyenne, F1, performance sur hard negatives</x:v>
      </x:c>
      <x:c r="M5" s="111" t="str">
        <x:v>NotInject contient 339 exemples bénins avec mots déclencheurs ; PIGuard réduit le biais lexical.</x:v>
      </x:c>
      <x:c r="N5" s="111" t="str">
        <x:v>https://github.com/leolee99/PIGuard</x:v>
      </x:c>
      <x:c r="O5" s="111" t="str">
        <x:v>Reste une classification globale ; ne représente pas explicitement source, autorité ou intention.</x:v>
      </x:c>
      <x:c r="P5" s="111" t="str">
        <x:v>Source majeure pour les hard negatives et l’hypothèse de réduction des raccourcis lexicaux.</x:v>
      </x:c>
      <x:c r="Q5" s="111" t="str">
        <x:v>Très élevée</x:v>
      </x:c>
      <x:c r="R5" s="112" t="str">
        <x:v>https://aclanthology.org/2025.acl-long.1468/</x:v>
      </x:c>
    </x:row>
    <x:row r="6" ht="92" customHeight="1">
      <x:c r="A6" s="110" t="n">
        <x:v>4</x:v>
      </x:c>
      <x:c r="B6" s="111" t="str">
        <x:v>Sentinel: SOTA model to protect against prompt injections — Ivry &amp; Nahum</x:v>
      </x:c>
      <x:c r="C6" s="111" t="n">
        <x:v>2025</x:v>
      </x:c>
      <x:c r="D6" s="111" t="str">
        <x:v>Prépublication arXiv</x:v>
      </x:c>
      <x:c r="E6" s="111" t="str">
        <x:v>Encodeur Transformer spécialisé</x:v>
      </x:c>
      <x:c r="F6" s="111" t="str">
        <x:v>Prompt injection et jailbreak</x:v>
      </x:c>
      <x:c r="G6" s="111" t="str">
        <x:v>Prompt seul</x:v>
      </x:c>
      <x:c r="H6" s="111" t="str">
        <x:v>ModernBERT-large fine-tuné sur données publiques et privées</x:v>
      </x:c>
      <x:c r="I6" s="111" t="str">
        <x:v>Binaire : bénin / injection-jailbreak</x:v>
      </x:c>
      <x:c r="J6" s="111" t="str">
        <x:v>Prompt</x:v>
      </x:c>
      <x:c r="K6" s="111" t="str">
        <x:v>Benchmarks publics + test interne privé</x:v>
      </x:c>
      <x:c r="L6" s="111" t="str">
        <x:v>Accuracy, F1</x:v>
      </x:c>
      <x:c r="M6" s="111" t="str">
        <x:v>Rapporte 0,987 d’accuracy et 0,980 de F1 sur un test interne non public.</x:v>
      </x:c>
      <x:c r="N6" s="111" t="str">
        <x:v>Modèle : https://huggingface.co/qualifire/prompt-injection-sentinel</x:v>
      </x:c>
      <x:c r="O6" s="111" t="str">
        <x:v>Reproductibilité partielle car une partie du corpus et du test est privée ; injection et jailbreak mélangés.</x:v>
      </x:c>
      <x:c r="P6" s="111" t="str">
        <x:v>Baseline encodeur moderne, mais à comparer avec des splits externes et une taxonomie PI stricte.</x:v>
      </x:c>
      <x:c r="Q6" s="111" t="str">
        <x:v>Moyenne</x:v>
      </x:c>
      <x:c r="R6" s="112" t="str">
        <x:v>https://arxiv.org/abs/2506.05446</x:v>
      </x:c>
    </x:row>
    <x:row r="7" ht="92" customHeight="1">
      <x:c r="A7" s="110" t="n">
        <x:v>5</x:v>
      </x:c>
      <x:c r="B7" s="111" t="str">
        <x:v>Attention Tracker: Detecting Prompt Injection Attacks in LLMs — Hung et al.</x:v>
      </x:c>
      <x:c r="C7" s="111" t="n">
        <x:v>2025</x:v>
      </x:c>
      <x:c r="D7" s="111" t="str">
        <x:v>Findings NAACL 2025</x:v>
      </x:c>
      <x:c r="E7" s="111" t="str">
        <x:v>Attention / mécanistique</x:v>
      </x:c>
      <x:c r="F7" s="111" t="str">
        <x:v>Injection directe et indirecte concaténée au prompt</x:v>
      </x:c>
      <x:c r="G7" s="111" t="str">
        <x:v>Instruction + requête dans un LLM ouvert</x:v>
      </x:c>
      <x:c r="H7" s="111" t="str">
        <x:v>Score de focalisation sur des têtes d’attention sensibles au « distraction effect »</x:v>
      </x:c>
      <x:c r="I7" s="111" t="str">
        <x:v>Score continu puis décision binaire</x:v>
      </x:c>
      <x:c r="J7" s="111" t="str">
        <x:v>Entrée globale</x:v>
      </x:c>
      <x:c r="K7" s="111" t="str">
        <x:v>Open-Prompt-Injection, deepset prompt injection</x:v>
      </x:c>
      <x:c r="L7" s="111" t="str">
        <x:v>AUROC, FPR/FNR</x:v>
      </x:c>
      <x:c r="M7" s="111" t="str">
        <x:v>Méthode sans entraînement sur dataset PI et sans seconde inférence ; jusqu’à +10 points d’AUROC annoncés.</x:v>
      </x:c>
      <x:c r="N7" s="111" t="str">
        <x:v>https://github.com/khhung-906/Attention-Tracker</x:v>
      </x:c>
      <x:c r="O7" s="111" t="str">
        <x:v>Nécessite l’accès aux attentions ; dépend du modèle, des têtes et de la structure du prompt.</x:v>
      </x:c>
      <x:c r="P7" s="111" t="str">
        <x:v>Base directe pour une branche « signaux internes » de PromptSec-FM.</x:v>
      </x:c>
      <x:c r="Q7" s="111" t="str">
        <x:v>Très élevée</x:v>
      </x:c>
      <x:c r="R7" s="112" t="str">
        <x:v>https://aclanthology.org/2025.findings-naacl.123/</x:v>
      </x:c>
    </x:row>
    <x:row r="8" ht="92" customHeight="1">
      <x:c r="A8" s="110" t="n">
        <x:v>6</x:v>
      </x:c>
      <x:c r="B8" s="111" t="str">
        <x:v>DataSentinel: A Game-Theoretic Detection of Prompt Injection Attacks — Liu et al.</x:v>
      </x:c>
      <x:c r="C8" s="111" t="n">
        <x:v>2025</x:v>
      </x:c>
      <x:c r="D8" s="111" t="str">
        <x:v>IEEE Symposium on Security and Privacy 2025</x:v>
      </x:c>
      <x:c r="E8" s="111" t="str">
        <x:v>Apprentissage adversarial / minimax</x:v>
      </x:c>
      <x:c r="F8" s="111" t="str">
        <x:v>Attaques connues et adaptatives</x:v>
      </x:c>
      <x:c r="G8" s="111" t="str">
        <x:v>Entrée contaminée + modèle détecteur</x:v>
      </x:c>
      <x:c r="H8" s="111" t="str">
        <x:v>Fine-tuning d’un LLM détecteur avec optimisation minimax et attaques adaptées</x:v>
      </x:c>
      <x:c r="I8" s="111" t="str">
        <x:v>Binaire : contaminé / propre</x:v>
      </x:c>
      <x:c r="J8" s="111" t="str">
        <x:v>Entrée globale</x:v>
      </x:c>
      <x:c r="K8" s="111" t="str">
        <x:v>Plusieurs benchmarks PI et LLM</x:v>
      </x:c>
      <x:c r="L8" s="111" t="str">
        <x:v>Accuracy/F1, robustesse aux attaques adaptatives</x:v>
      </x:c>
      <x:c r="M8" s="111" t="str">
        <x:v>Entraîne explicitement le détecteur contre un adversaire qui cherche à éviter la détection.</x:v>
      </x:c>
      <x:c r="N8" s="111" t="str">
        <x:v>https://github.com/liu00222/Open-Prompt-Injection</x:v>
      </x:c>
      <x:c r="O8" s="111" t="str">
        <x:v>Coût d’entraînement élevé ; robustesse liée à l’espace d’attaques utilisé pendant le minimax.</x:v>
      </x:c>
      <x:c r="P8" s="111" t="str">
        <x:v>Référence essentielle pour l’entraînement adversarial et l’évaluation adaptative.</x:v>
      </x:c>
      <x:c r="Q8" s="111" t="str">
        <x:v>Très élevée</x:v>
      </x:c>
      <x:c r="R8" s="112" t="str">
        <x:v>https://arxiv.org/abs/2504.11358</x:v>
      </x:c>
    </x:row>
    <x:row r="9" ht="92" customHeight="1">
      <x:c r="A9" s="110" t="n">
        <x:v>7</x:v>
      </x:c>
      <x:c r="B9" s="111" t="str">
        <x:v>Can Indirect Prompt Injection Attacks Be Detected and Removed? — Chen et al.</x:v>
      </x:c>
      <x:c r="C9" s="111" t="n">
        <x:v>2025</x:v>
      </x:c>
      <x:c r="D9" s="111" t="str">
        <x:v>ACL 2025</x:v>
      </x:c>
      <x:c r="E9" s="111" t="str">
        <x:v>Détection + localisation / suppression</x:v>
      </x:c>
      <x:c r="F9" s="111" t="str">
        <x:v>Injection indirecte dans documents et sorties d’outils</x:v>
      </x:c>
      <x:c r="G9" s="111" t="str">
        <x:v>Tâche + document injecté</x:v>
      </x:c>
      <x:c r="H9" s="111" t="str">
        <x:v>Évaluation de LLM/guards, entraînement de détecteurs et modèles d’extraction</x:v>
      </x:c>
      <x:c r="I9" s="111" t="str">
        <x:v>Binaire + segments injectés / contenu nettoyé</x:v>
      </x:c>
      <x:c r="J9" s="111" t="str">
        <x:v>Document, segment et span</x:v>
      </x:c>
      <x:c r="K9" s="111" t="str">
        <x:v>Benchmark IPI construit par les auteurs</x:v>
      </x:c>
      <x:c r="L9" s="111" t="str">
        <x:v>Détection, ASR après retrait, qualité du contenu</x:v>
      </x:c>
      <x:c r="M9" s="111" t="str">
        <x:v>Compare retrait par segmentation et extraction directe des instructions injectées.</x:v>
      </x:c>
      <x:c r="N9" s="111" t="str">
        <x:v>Voir ressources associées au papier</x:v>
      </x:c>
      <x:c r="O9" s="111" t="str">
        <x:v>La qualité dépend du découpage et des annotations ; risque de supprimer des instructions légitimes.</x:v>
      </x:c>
      <x:c r="P9" s="111" t="str">
        <x:v>Fondamental pour la tête de token/span classification et la sanitisation.</x:v>
      </x:c>
      <x:c r="Q9" s="111" t="str">
        <x:v>Très élevée</x:v>
      </x:c>
      <x:c r="R9" s="112" t="str">
        <x:v>https://aclanthology.org/2025.acl-long.890/</x:v>
      </x:c>
    </x:row>
    <x:row r="10" ht="92" customHeight="1">
      <x:c r="A10" s="110" t="n">
        <x:v>8</x:v>
      </x:c>
      <x:c r="B10" s="111" t="str">
        <x:v>The Task Shield: Enforcing Task Alignment to Defend Against Indirect Prompt Injection — Jia et al.</x:v>
      </x:c>
      <x:c r="C10" s="111" t="n">
        <x:v>2025</x:v>
      </x:c>
      <x:c r="D10" s="111" t="str">
        <x:v>ACL 2025</x:v>
      </x:c>
      <x:c r="E10" s="111" t="str">
        <x:v>Alignement de tâche / contrôle runtime</x:v>
      </x:c>
      <x:c r="F10" s="111" t="str">
        <x:v>Injection indirecte dans agents à outils</x:v>
      </x:c>
      <x:c r="G10" s="111" t="str">
        <x:v>Objectif utilisateur + instructions + appels d’outils</x:v>
      </x:c>
      <x:c r="H10" s="111" t="str">
        <x:v>Vérification à l’inférence que chaque instruction/action sert le but utilisateur</x:v>
      </x:c>
      <x:c r="I10" s="111" t="str">
        <x:v>Aligné / non aligné ; autoriser / bloquer</x:v>
      </x:c>
      <x:c r="J10" s="111" t="str">
        <x:v>Instruction et action d’agent</x:v>
      </x:c>
      <x:c r="K10" s="111" t="str">
        <x:v>AgentDojo</x:v>
      </x:c>
      <x:c r="L10" s="111" t="str">
        <x:v>Attack Success Rate, Task Utility</x:v>
      </x:c>
      <x:c r="M10" s="111" t="str">
        <x:v>Sur GPT-4o : ASR 2,07 % avec utilité de tâche 69,79 % dans le protocole rapporté.</x:v>
      </x:c>
      <x:c r="N10" s="111" t="str">
        <x:v>Code non confirmé sur la page principale</x:v>
      </x:c>
      <x:c r="O10" s="111" t="str">
        <x:v>Dépend d’un objectif utilisateur explicite et d’une bonne interprétation des actions.</x:v>
      </x:c>
      <x:c r="P10" s="111" t="str">
        <x:v>Justifie le label central ALIGNED / MISALIGNED et l’évaluation conjointe sécurité-utilité.</x:v>
      </x:c>
      <x:c r="Q10" s="111" t="str">
        <x:v>Très élevée</x:v>
      </x:c>
      <x:c r="R10" s="112" t="str">
        <x:v>https://aclanthology.org/2025.acl-long.1435/</x:v>
      </x:c>
    </x:row>
    <x:row r="11" ht="92" customHeight="1">
      <x:c r="A11" s="110" t="n">
        <x:v>9</x:v>
      </x:c>
      <x:c r="B11" s="111" t="str">
        <x:v>CAPTURE: Context-Aware Prompt Injection Testing and Robustness Enhancement — Kholkar &amp; Ahuja</x:v>
      </x:c>
      <x:c r="C11" s="111" t="n">
        <x:v>2025</x:v>
      </x:c>
      <x:c r="D11" s="111" t="str">
        <x:v>LLMSEC 2025</x:v>
      </x:c>
      <x:c r="E11" s="111" t="str">
        <x:v>Benchmark contextuel / adaptation</x:v>
      </x:c>
      <x:c r="F11" s="111" t="str">
        <x:v>Attaques dépendantes du contexte et over-defense</x:v>
      </x:c>
      <x:c r="G11" s="111" t="str">
        <x:v>Contexte applicatif + entrée candidate</x:v>
      </x:c>
      <x:c r="H11" s="111" t="str">
        <x:v>Benchmark contextuel et adaptation avec peu d’exemples du domaine</x:v>
      </x:c>
      <x:c r="I11" s="111" t="str">
        <x:v>Attaque / bénin dans un contexte donné</x:v>
      </x:c>
      <x:c r="J11" s="111" t="str">
        <x:v>Exemple contextuel</x:v>
      </x:c>
      <x:c r="K11" s="111" t="str">
        <x:v>CAPTURE</x:v>
      </x:c>
      <x:c r="L11" s="111" t="str">
        <x:v>Faux positifs, faux négatifs, détection contextuelle</x:v>
      </x:c>
      <x:c r="M11" s="111" t="str">
        <x:v>Montre que les guards statiques produisent à la fois des FN adversariaux et des FP bénins.</x:v>
      </x:c>
      <x:c r="N11" s="111" t="str">
        <x:v>Non indiqué</x:v>
      </x:c>
      <x:c r="O11" s="111" t="str">
        <x:v>Benchmark relativement récent et de taille/portée plus limitée que les suites historiques.</x:v>
      </x:c>
      <x:c r="P11" s="111" t="str">
        <x:v>Très pertinent pour construire des paires même texte / contexte différent.</x:v>
      </x:c>
      <x:c r="Q11" s="111" t="str">
        <x:v>Élevée</x:v>
      </x:c>
      <x:c r="R11" s="112" t="str">
        <x:v>https://aclanthology.org/2025.llmsec-1.13/</x:v>
      </x:c>
    </x:row>
    <x:row r="12" ht="92" customHeight="1">
      <x:c r="A12" s="110" t="n">
        <x:v>10</x:v>
      </x:c>
      <x:c r="B12" s="111" t="str">
        <x:v>PromptArmor: Simple yet Effective Prompt Injection Defenses — Shi et al.</x:v>
      </x:c>
      <x:c r="C12" s="111" t="n">
        <x:v>2025</x:v>
      </x:c>
      <x:c r="D12" s="111" t="str">
        <x:v>Prépublication / OpenReview</x:v>
      </x:c>
      <x:c r="E12" s="111" t="str">
        <x:v>LLM-as-a-guard / sanitisation</x:v>
      </x:c>
      <x:c r="F12" s="111" t="str">
        <x:v>Injection indirecte contre agents</x:v>
      </x:c>
      <x:c r="G12" s="111" t="str">
        <x:v>Donnée externe + consigne de filtrage</x:v>
      </x:c>
      <x:c r="H12" s="111" t="str">
        <x:v>LLM généraliste invité à détecter et retirer les segments injectés</x:v>
      </x:c>
      <x:c r="I12" s="111" t="str">
        <x:v>Texte nettoyé + décision implicite</x:v>
      </x:c>
      <x:c r="J12" s="111" t="str">
        <x:v>Segment / document</x:v>
      </x:c>
      <x:c r="K12" s="111" t="str">
        <x:v>AgentDojo</x:v>
      </x:c>
      <x:c r="L12" s="111" t="str">
        <x:v>FPR, FNR, ASR après nettoyage</x:v>
      </x:c>
      <x:c r="M12" s="111" t="str">
        <x:v>Avec certains LLM, rapporte FPR et FNR &lt;1 % et ASR &lt;1 % sur AgentDojo.</x:v>
      </x:c>
      <x:c r="N12" s="111" t="str">
        <x:v>Implémentation officielle non clairement identifiée</x:v>
      </x:c>
      <x:c r="O12" s="111" t="str">
        <x:v>Coût et dépendance à un LLM externe ; défense circulaire ; résultats sensibles au prompt de garde.</x:v>
      </x:c>
      <x:c r="P12" s="111" t="str">
        <x:v>Baseline LLM-judge/sanitizer à comparer au modèle spécialisé.</x:v>
      </x:c>
      <x:c r="Q12" s="111" t="str">
        <x:v>Élevée</x:v>
      </x:c>
      <x:c r="R12" s="112" t="str">
        <x:v>https://arxiv.org/abs/2507.15219</x:v>
      </x:c>
    </x:row>
    <x:row r="13" ht="92" customHeight="1">
      <x:c r="A13" s="110" t="n">
        <x:v>11</x:v>
      </x:c>
      <x:c r="B13" s="111" t="str">
        <x:v>Defending against Indirect Prompt Injection by Instruction Detection — Wen et al.</x:v>
      </x:c>
      <x:c r="C13" s="111" t="n">
        <x:v>2025</x:v>
      </x:c>
      <x:c r="D13" s="111" t="str">
        <x:v>Findings EMNLP 2025</x:v>
      </x:c>
      <x:c r="E13" s="111" t="str">
        <x:v>États cachés + gradients</x:v>
      </x:c>
      <x:c r="F13" s="111" t="str">
        <x:v>Injection indirecte dans contenu externe / RAG</x:v>
      </x:c>
      <x:c r="G13" s="111" t="str">
        <x:v>Contenu externe traité par un LLM ouvert</x:v>
      </x:c>
      <x:c r="H13" s="111" t="str">
        <x:v>InstructDetector combine états cachés et gradients de couches intermédiaires</x:v>
      </x:c>
      <x:c r="I13" s="111" t="str">
        <x:v>Instruction présente / absente ; potentiel IPI</x:v>
      </x:c>
      <x:c r="J13" s="111" t="str">
        <x:v>Contenu global</x:v>
      </x:c>
      <x:c r="K13" s="111" t="str">
        <x:v>BIPIA + données in-domain / out-of-domain</x:v>
      </x:c>
      <x:c r="L13" s="111" t="str">
        <x:v>Accuracy, ASR</x:v>
      </x:c>
      <x:c r="M13" s="111" t="str">
        <x:v>Rapporte 99,60 % in-domain, 96,90 % OOD et ASR réduit à 0,03 % sur BIPIA.</x:v>
      </x:c>
      <x:c r="N13" s="111" t="str">
        <x:v>https://github.com/MYVAE/Instruction-detection</x:v>
      </x:c>
      <x:c r="O13" s="111" t="str">
        <x:v>Détecter toute instruction peut produire de l’over-defense si l’alignement n’est pas modélisé.</x:v>
      </x:c>
      <x:c r="P13" s="111" t="str">
        <x:v>Excellente base pour combiner hidden states, gradients et labels d’alignement.</x:v>
      </x:c>
      <x:c r="Q13" s="111" t="str">
        <x:v>Très élevée</x:v>
      </x:c>
      <x:c r="R13" s="112" t="str">
        <x:v>https://aclanthology.org/2025.findings-emnlp.1060/</x:v>
      </x:c>
    </x:row>
    <x:row r="14" ht="92" customHeight="1">
      <x:c r="A14" s="110" t="n">
        <x:v>12</x:v>
      </x:c>
      <x:c r="B14" s="111" t="str">
        <x:v>PromptSleuth: Detecting Prompt Injection via Semantic Intent Invariance — Wang et al.</x:v>
      </x:c>
      <x:c r="C14" s="111" t="n">
        <x:v>2025</x:v>
      </x:c>
      <x:c r="D14" s="111" t="str">
        <x:v>Prépublication arXiv</x:v>
      </x:c>
      <x:c r="E14" s="111" t="str">
        <x:v>Raisonnement sémantique sur l’intention</x:v>
      </x:c>
      <x:c r="F14" s="111" t="str">
        <x:v>Paraphrases, obfuscations et attaques multitâches</x:v>
      </x:c>
      <x:c r="G14" s="111" t="str">
        <x:v>Tâche prévue + tâche potentiellement injectée</x:v>
      </x:c>
      <x:c r="H14" s="111" t="str">
        <x:v>Raisonnement sur l’invariance de l’intention malveillante plutôt que sur la forme</x:v>
      </x:c>
      <x:c r="I14" s="111" t="str">
        <x:v>Tâche autorisée / tâche injectée</x:v>
      </x:c>
      <x:c r="J14" s="111" t="str">
        <x:v>Tâche / entrée</x:v>
      </x:c>
      <x:c r="K14" s="111" t="str">
        <x:v>Benchmark étendu par les auteurs + benchmarks antérieurs</x:v>
      </x:c>
      <x:c r="L14" s="111" t="str">
        <x:v>Détection, coût, temps d’exécution</x:v>
      </x:c>
      <x:c r="M14" s="111" t="str">
        <x:v>Positionne l’intention non autorisée comme invariant sous transformation de surface.</x:v>
      </x:c>
      <x:c r="N14" s="111" t="str">
        <x:v>Code non identifié dans la source principale</x:v>
      </x:c>
      <x:c r="O14" s="111" t="str">
        <x:v>Prépublication ; mécanisme exact et reproductibilité à examiner dans le papier complet.</x:v>
      </x:c>
      <x:c r="P14" s="111" t="str">
        <x:v>Très proche de l’objectif d’apprendre une représentation d’intention et d’alignement.</x:v>
      </x:c>
      <x:c r="Q14" s="111" t="str">
        <x:v>Très élevée</x:v>
      </x:c>
      <x:c r="R14" s="112" t="str">
        <x:v>https://arxiv.org/abs/2508.20890</x:v>
      </x:c>
    </x:row>
    <x:row r="15" ht="92" customHeight="1">
      <x:c r="A15" s="110" t="n">
        <x:v>13</x:v>
      </x:c>
      <x:c r="B15" s="111" t="str">
        <x:v>PIShield: Detecting Prompt Injection Attacks via Intrinsic LLM Features — Zou et al.</x:v>
      </x:c>
      <x:c r="C15" s="111" t="n">
        <x:v>2025</x:v>
      </x:c>
      <x:c r="D15" s="111" t="str">
        <x:v>Prépublication arXiv</x:v>
      </x:c>
      <x:c r="E15" s="111" t="str">
        <x:v>Représentations internes + sonde linéaire</x:v>
      </x:c>
      <x:c r="F15" s="111" t="str">
        <x:v>Prompt injection directe et indirecte</x:v>
      </x:c>
      <x:c r="G15" s="111" t="str">
        <x:v>Prompt dans un LLM ouvert</x:v>
      </x:c>
      <x:c r="H15" s="111" t="str">
        <x:v>Vecteur résiduel du dernier token à une couche critique + classifieur linéaire</x:v>
      </x:c>
      <x:c r="I15" s="111" t="str">
        <x:v>Binaire : propre / contaminé</x:v>
      </x:c>
      <x:c r="J15" s="111" t="str">
        <x:v>Entrée globale</x:v>
      </x:c>
      <x:c r="K15" s="111" t="str">
        <x:v>5 benchmarks, 8 attaques</x:v>
      </x:c>
      <x:c r="L15" s="111" t="str">
        <x:v>Efficacité, coût, robustesse adaptative</x:v>
      </x:c>
      <x:c r="M15" s="111" t="str">
        <x:v>Observe une séparabilité linéaire à certaines couches et compare 11 baselines.</x:v>
      </x:c>
      <x:c r="N15" s="111" t="str">
        <x:v>Code mentionné par les auteurs, lien à confirmer</x:v>
      </x:c>
      <x:c r="O15" s="111" t="str">
        <x:v>Nécessite un accès au residual stream ; sensibilité possible au modèle et à la couche.</x:v>
      </x:c>
      <x:c r="P15" s="111" t="str">
        <x:v>Baseline mécanistique simple pour tester la transférabilité des représentations.</x:v>
      </x:c>
      <x:c r="Q15" s="111" t="str">
        <x:v>Très élevée</x:v>
      </x:c>
      <x:c r="R15" s="112" t="str">
        <x:v>https://arxiv.org/abs/2510.14005</x:v>
      </x:c>
    </x:row>
    <x:row r="16" ht="92" customHeight="1">
      <x:c r="A16" s="110" t="n">
        <x:v>14</x:v>
      </x:c>
      <x:c r="B16" s="111" t="str">
        <x:v>AlignSentinel: Alignment-Aware Detection of Prompt Injection Attacks — Jia et al.</x:v>
      </x:c>
      <x:c r="C16" s="111" t="n">
        <x:v>2026</x:v>
      </x:c>
      <x:c r="D16" s="111" t="str">
        <x:v>Prépublication arXiv</x:v>
      </x:c>
      <x:c r="E16" s="111" t="str">
        <x:v>Attention + classification contextuelle</x:v>
      </x:c>
      <x:c r="F16" s="111" t="str">
        <x:v>Injection directe et indirecte avec instructions bénignes</x:v>
      </x:c>
      <x:c r="G16" s="111" t="str">
        <x:v>Tâche / hiérarchie + contenu</x:v>
      </x:c>
      <x:c r="H16" s="111" t="str">
        <x:v>Caractéristiques d’attention et classifieur à trois classes</x:v>
      </x:c>
      <x:c r="I16" s="111" t="str">
        <x:v>MISALIGNED_INSTRUCTION / ALIGNED_INSTRUCTION / NON_INSTRUCTION</x:v>
      </x:c>
      <x:c r="J16" s="111" t="str">
        <x:v>Entrée globale</x:v>
      </x:c>
      <x:c r="K16" s="111" t="str">
        <x:v>Benchmark AlignSentinel + benchmarks existants + IHEval</x:v>
      </x:c>
      <x:c r="L16" s="111" t="str">
        <x:v>Classification 3 classes, généralisation cross-domain</x:v>
      </x:c>
      <x:c r="M16" s="111" t="str">
        <x:v>Traite explicitement l’erreur consistant à considérer toute instruction comme malveillante.</x:v>
      </x:c>
      <x:c r="N16" s="111" t="str">
        <x:v>Non indiqué dans la source principale</x:v>
      </x:c>
      <x:c r="O16" s="111" t="str">
        <x:v>Prépublication récente ; dépend de l’accès aux attentions et d’une définition d’alignement annotable.</x:v>
      </x:c>
      <x:c r="P16" s="111" t="str">
        <x:v>Référence la plus proche de notre label fondamental à trois/quatre classes.</x:v>
      </x:c>
      <x:c r="Q16" s="111" t="str">
        <x:v>Critique</x:v>
      </x:c>
      <x:c r="R16" s="112" t="str">
        <x:v>https://arxiv.org/abs/2602.13597</x:v>
      </x:c>
    </x:row>
    <x:row r="17" ht="92" customHeight="1">
      <x:c r="A17" s="110" t="n">
        <x:v>15</x:v>
      </x:c>
      <x:c r="B17" s="111" t="str">
        <x:v>Attention is All You Need to Defend Against Indirect Prompt Injection Attacks — Zhong et al. (RENNERVATE)</x:v>
      </x:c>
      <x:c r="C17" s="111" t="n">
        <x:v>2026</x:v>
      </x:c>
      <x:c r="D17" s="111" t="str">
        <x:v>NDSS 2026</x:v>
      </x:c>
      <x:c r="E17" s="111" t="str">
        <x:v>Attention token-level + sanitisation</x:v>
      </x:c>
      <x:c r="F17" s="111" t="str">
        <x:v>Injection indirecte dans données externes</x:v>
      </x:c>
      <x:c r="G17" s="111" t="str">
        <x:v>Tokens externes + attentions du LLM</x:v>
      </x:c>
      <x:c r="H17" s="111" t="str">
        <x:v>Pooling attentif en deux étapes sur têtes et tokens de réponse</x:v>
      </x:c>
      <x:c r="I17" s="111" t="str">
        <x:v>Token injecté / bénin ; document contaminé / propre</x:v>
      </x:c>
      <x:c r="J17" s="111" t="str">
        <x:v>Token et document</x:v>
      </x:c>
      <x:c r="K17" s="111" t="str">
        <x:v>FIPI + plusieurs modèles et baselines</x:v>
      </x:c>
      <x:c r="L17" s="111" t="str">
        <x:v>FPR, FNR, ASR, utilité après sanitisation</x:v>
      </x:c>
      <x:c r="M17" s="111" t="str">
        <x:v>Détection fine puis suppression des tokens suspects ; FIPI apporte des annotations token-level.</x:v>
      </x:c>
      <x:c r="N17" s="111" t="str">
        <x:v>Dataset annoncé comme open source ; dépôt à confirmer</x:v>
      </x:c>
      <x:c r="O17" s="111" t="str">
        <x:v>Accès aux attentions requis ; suppression token par token peut altérer la sémantique.</x:v>
      </x:c>
      <x:c r="P17" s="111" t="str">
        <x:v>Architecture de référence pour la tête de localisation et la préservation du document.</x:v>
      </x:c>
      <x:c r="Q17" s="111" t="str">
        <x:v>Critique</x:v>
      </x:c>
      <x:c r="R17" s="112" t="str">
        <x:v>https://www.ndss-symposium.org/ndss-paper/attention-is-all-you-need-to-defend-against-indirect-prompt-injection-attacks-in-llms/</x:v>
      </x:c>
    </x:row>
    <x:row r="18" ht="92" customHeight="1">
      <x:c r="A18" s="110" t="n">
        <x:v>16</x:v>
      </x:c>
      <x:c r="B18" s="111" t="str">
        <x:v>RAP-ID: Mechanistic Prompt Injection Detection via Impostor Behavior Analysis — Yang et al.</x:v>
      </x:c>
      <x:c r="C18" s="111" t="n">
        <x:v>2026</x:v>
      </x:c>
      <x:c r="D18" s="111" t="str">
        <x:v>Findings ACL 2026</x:v>
      </x:c>
      <x:c r="E18" s="111" t="str">
        <x:v>Détection mécanistique sans entraînement</x:v>
      </x:c>
      <x:c r="F18" s="111" t="str">
        <x:v>Prompt injection comme imitation d’autorité</x:v>
      </x:c>
      <x:c r="G18" s="111" t="str">
        <x:v>États internes lors du premier forward pass</x:v>
      </x:c>
      <x:c r="H18" s="111" t="str">
        <x:v>Fusion de Directive Likeness, Counterfactual Gain et Policy Conflict</x:v>
      </x:c>
      <x:c r="I18" s="111" t="str">
        <x:v>Score de risque / décision binaire</x:v>
      </x:c>
      <x:c r="J18" s="111" t="str">
        <x:v>Entrée globale</x:v>
      </x:c>
      <x:c r="K18" s="111" t="str">
        <x:v>Plusieurs benchmarks PI et hard negatives</x:v>
      </x:c>
      <x:c r="L18" s="111" t="str">
        <x:v>Détection, faux positifs, coût</x:v>
      </x:c>
      <x:c r="M18" s="111" t="str">
        <x:v>Cherche des signaux internes inévitables de l’« imposteur » plutôt que des motifs de surface.</x:v>
      </x:c>
      <x:c r="N18" s="111" t="str">
        <x:v>Non indiqué sur la page ACL</x:v>
      </x:c>
      <x:c r="O18" s="111" t="str">
        <x:v>Dépendance au modèle ouvert et à la stabilité des signaux mécanistiques.</x:v>
      </x:c>
      <x:c r="P18" s="111" t="str">
        <x:v>Donne trois sous-objectifs utiles pour un préentraînement multitâche.</x:v>
      </x:c>
      <x:c r="Q18" s="111" t="str">
        <x:v>Critique</x:v>
      </x:c>
      <x:c r="R18" s="112" t="str">
        <x:v>https://aclanthology.org/2026.findings-acl.738/</x:v>
      </x:c>
    </x:row>
    <x:row r="19" ht="92" customHeight="1">
      <x:c r="A19" s="110" t="n">
        <x:v>17</x:v>
      </x:c>
      <x:c r="B19" s="111" t="str">
        <x:v>Prompt Injection as Role Confusion — Ye, Cui &amp; Hadfield-Menell</x:v>
      </x:c>
      <x:c r="C19" s="111" t="n">
        <x:v>2026</x:v>
      </x:c>
      <x:c r="D19" s="111" t="str">
        <x:v>Prépublication arXiv</x:v>
      </x:c>
      <x:c r="E19" s="111" t="str">
        <x:v>Analyse mécanistique des rôles</x:v>
      </x:c>
      <x:c r="F19" s="111" t="str">
        <x:v>Injection directe, tool-output et usurpation de rôle</x:v>
      </x:c>
      <x:c r="G19" s="111" t="str">
        <x:v>Tokens avec rôles architecturaux</x:v>
      </x:c>
      <x:c r="H19" s="111" t="str">
        <x:v>Role probes mesurant le rôle latent attribué au texte</x:v>
      </x:c>
      <x:c r="I19" s="111" t="str">
        <x:v>Probabilité de rôle latent ; prédiction de succès d’attaque</x:v>
      </x:c>
      <x:c r="J19" s="111" t="str">
        <x:v>Token / segment</x:v>
      </x:c>
      <x:c r="K19" s="111" t="str">
        <x:v>StrongREJECT et scénarios d’exfiltration d’agents</x:v>
      </x:c>
      <x:c r="L19" s="111" t="str">
        <x:v>ASR, pouvoir prédictif des probes</x:v>
      </x:c>
      <x:c r="M19" s="111" t="str">
        <x:v>Montre que le style peut faire hériter à un texte non fiable de l’autorité d’un rôle privilégié.</x:v>
      </x:c>
      <x:c r="N19" s="111" t="str">
        <x:v>Non indiqué</x:v>
      </x:c>
      <x:c r="O19" s="111" t="str">
        <x:v>Travail explicatif plus que détecteur de production ; résultats à reproduire sur plus de modèles.</x:v>
      </x:c>
      <x:c r="P19" s="111" t="str">
        <x:v>Fondement théorique direct de la modélisation source réelle / autorité revendiquée.</x:v>
      </x:c>
      <x:c r="Q19" s="111" t="str">
        <x:v>Critique</x:v>
      </x:c>
      <x:c r="R19" s="112" t="str">
        <x:v>https://arxiv.org/abs/2603.12277</x:v>
      </x:c>
    </x:row>
    <x:row r="20" ht="92" customHeight="1">
      <x:c r="A20" s="113" t="n">
        <x:v>18</x:v>
      </x:c>
      <x:c r="B20" s="114" t="str">
        <x:v>When Benchmarks Lie: Evaluating Malicious Prompt Classifiers Under True Distribution Shift — Fomin</x:v>
      </x:c>
      <x:c r="C20" s="114" t="n">
        <x:v>2026</x:v>
      </x:c>
      <x:c r="D20" s="114" t="str">
        <x:v>Prépublication arXiv</x:v>
      </x:c>
      <x:c r="E20" s="114" t="str">
        <x:v>Méthodologie d’évaluation OOD</x:v>
      </x:c>
      <x:c r="F20" s="114" t="str">
        <x:v>Prompt injection, jailbreak et attaques agentiques</x:v>
      </x:c>
      <x:c r="G20" s="114" t="str">
        <x:v>18 datasets agrégés</x:v>
      </x:c>
      <x:c r="H20" s="114" t="str">
        <x:v>Leave-One-Dataset-Out + analyse de features SAE</x:v>
      </x:c>
      <x:c r="I20" s="114" t="str">
        <x:v>Binaire selon les datasets ; performance OOD</x:v>
      </x:c>
      <x:c r="J20" s="114" t="str">
        <x:v>Dataset / prompt</x:v>
      </x:c>
      <x:c r="K20" s="114" t="str">
        <x:v>18 datasets</x:v>
      </x:c>
      <x:c r="L20" s="114" t="str">
        <x:v>AUC, accuracy par dataset, taux de détection</x:v>
      </x:c>
      <x:c r="M20" s="114" t="str">
        <x:v>Mesure une inflation agrégée de 8,4 points d’AUC avec les splits standards ; guards faibles sur attaques agentiques indirectes.</x:v>
      </x:c>
      <x:c r="N20" s="114" t="str">
        <x:v>https://github.com/maxf-zn/prompt-mining</x:v>
      </x:c>
      <x:c r="O20" s="114" t="str">
        <x:v>Mélange plusieurs familles de menaces ; prépublication ; qualité hétérogène des datasets sources.</x:v>
      </x:c>
      <x:c r="P20" s="114" t="str">
        <x:v>Protocole d’évaluation obligatoire pour prouver que PromptSec-FM généralise réellement.</x:v>
      </x:c>
      <x:c r="Q20" s="114" t="str">
        <x:v>Critique</x:v>
      </x:c>
      <x:c r="R20" s="115" t="str">
        <x:v>https://arxiv.org/abs/2602.14161</x:v>
      </x:c>
    </x:row>
  </x:sheetData>
  <x:mergeCells>
    <x:mergeCell ref="A1:R1"/>
  </x:mergeCells>
  <x:conditionalFormatting sqref="Q3:Q20">
    <x:cfRule type="expression" dxfId="0" priority="1">
      <x:formula>Q3="Critique"</x:formula>
    </x:cfRule>
    <x:cfRule type="expression" dxfId="1" priority="2">
      <x:formula>Q3="Très élevée"</x:formula>
    </x:cfRule>
    <x:cfRule type="expression" dxfId="2" priority="3">
      <x:formula>Q3="Élevée"</x:formula>
    </x:cfRule>
    <x:cfRule type="expression" dxfId="3" priority="4">
      <x:formula>Q3="Moyenne"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204c06fff00495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5" hidden="0" customWidth="1"/>
    <x:col min="2" max="2" width="30" hidden="0" customWidth="1"/>
    <x:col min="3" max="3" width="8" hidden="0" customWidth="1"/>
    <x:col min="4" max="4" width="27" hidden="0" customWidth="1"/>
    <x:col min="5" max="5" width="26" hidden="0" customWidth="1"/>
    <x:col min="6" max="6" width="24" hidden="0" customWidth="1"/>
    <x:col min="7" max="7" width="31" hidden="0" customWidth="1"/>
    <x:col min="8" max="8" width="31" hidden="0" customWidth="1"/>
    <x:col min="9" max="9" width="37" hidden="0" customWidth="1"/>
    <x:col min="10" max="10" width="38" hidden="0" customWidth="1"/>
    <x:col min="11" max="11" width="42" hidden="0" customWidth="1"/>
    <x:col min="12" max="12" width="42" hidden="0" customWidth="1"/>
  </x:cols>
  <x:sheetData>
    <x:row r="1" ht="28" customHeight="1">
      <x:c r="A1" s="106" t="str">
        <x:v>Matrice des benchmarks et datasets</x:v>
      </x:c>
      <x:c r="B1" s="106"/>
      <x:c r="C1" s="106"/>
      <x:c r="D1" s="106"/>
      <x:c r="E1" s="106"/>
      <x:c r="F1" s="106"/>
      <x:c r="G1" s="106"/>
      <x:c r="H1" s="106"/>
      <x:c r="I1" s="106"/>
      <x:c r="J1" s="106"/>
      <x:c r="K1" s="106"/>
      <x:c r="L1" s="106"/>
    </x:row>
    <x:row r="2">
      <x:c r="A2" s="126" t="str">
        <x:v>ID</x:v>
      </x:c>
      <x:c r="B2" s="127" t="str">
        <x:v>Benchmark / dataset</x:v>
      </x:c>
      <x:c r="C2" s="127" t="str">
        <x:v>Année</x:v>
      </x:c>
      <x:c r="D2" s="127" t="str">
        <x:v>Type</x:v>
      </x:c>
      <x:c r="E2" s="127" t="str">
        <x:v>Menace</x:v>
      </x:c>
      <x:c r="F2" s="127" t="str">
        <x:v>Unité / granularité</x:v>
      </x:c>
      <x:c r="G2" s="127" t="str">
        <x:v>Labels / objectif</x:v>
      </x:c>
      <x:c r="H2" s="127" t="str">
        <x:v>Contexte / domaines</x:v>
      </x:c>
      <x:c r="I2" s="127" t="str">
        <x:v>Point fort</x:v>
      </x:c>
      <x:c r="J2" s="127" t="str">
        <x:v>Limite à surveiller</x:v>
      </x:c>
      <x:c r="K2" s="127" t="str">
        <x:v>Code / données</x:v>
      </x:c>
      <x:c r="L2" s="128" t="str">
        <x:v>Source principale</x:v>
      </x:c>
    </x:row>
    <x:row r="3" ht="78" customHeight="1">
      <x:c r="A3" s="129" t="n">
        <x:v>1</x:v>
      </x:c>
      <x:c r="B3" s="111" t="str">
        <x:v>PromptInject</x:v>
      </x:c>
      <x:c r="C3" s="111" t="n">
        <x:v>2022</x:v>
      </x:c>
      <x:c r="D3" s="111" t="str">
        <x:v>Framework d’attaque / corpus</x:v>
      </x:c>
      <x:c r="E3" s="111" t="str">
        <x:v>Injection directe</x:v>
      </x:c>
      <x:c r="F3" s="111" t="str">
        <x:v>Prompt</x:v>
      </x:c>
      <x:c r="G3" s="111" t="str">
        <x:v>Goal hijacking ; prompt leaking ; succès/échec</x:v>
      </x:c>
      <x:c r="H3" s="111" t="str">
        <x:v>Tâches GPT-3</x:v>
      </x:c>
      <x:c r="I3" s="111" t="str">
        <x:v>Travail fondateur et attaques interprétables</x:v>
      </x:c>
      <x:c r="J3" s="111" t="str">
        <x:v>Couverture limitée des agents, langues et injections indirectes</x:v>
      </x:c>
      <x:c r="K3" s="111" t="str">
        <x:v>https://github.com/agencyenterprise/PromptInject</x:v>
      </x:c>
      <x:c r="L3" s="130" t="str">
        <x:v>https://arxiv.org/abs/2211.09527</x:v>
      </x:c>
    </x:row>
    <x:row r="4" ht="78" customHeight="1">
      <x:c r="A4" s="129" t="n">
        <x:v>2</x:v>
      </x:c>
      <x:c r="B4" s="111" t="str">
        <x:v>Tensor Trust</x:v>
      </x:c>
      <x:c r="C4" s="111" t="n">
        <x:v>2024</x:v>
      </x:c>
      <x:c r="D4" s="111" t="str">
        <x:v>Jeu en ligne + benchmarks humains</x:v>
      </x:c>
      <x:c r="E4" s="111" t="str">
        <x:v>Extraction de prompt et hijacking</x:v>
      </x:c>
      <x:c r="F4" s="111" t="str">
        <x:v>Attaque / défense humaine</x:v>
      </x:c>
      <x:c r="G4" s="111" t="str">
        <x:v>Extraction du secret ; accès sans code</x:v>
      </x:c>
      <x:c r="H4" s="111" t="str">
        <x:v>Jeu adversarial simple</x:v>
      </x:c>
      <x:c r="I4" s="111" t="str">
        <x:v>Attaques humaines interprétables et distribuées</x:v>
      </x:c>
      <x:c r="J4" s="111" t="str">
        <x:v>Tâche artificielle de comparaison de chaînes ; contexte applicatif limité</x:v>
      </x:c>
      <x:c r="K4" s="111" t="str">
        <x:v>https://github.com/HumanCompatibleAI/tensor-trust</x:v>
      </x:c>
      <x:c r="L4" s="130" t="str">
        <x:v>https://arxiv.org/abs/2311.01011</x:v>
      </x:c>
    </x:row>
    <x:row r="5" ht="78" customHeight="1">
      <x:c r="A5" s="129" t="n">
        <x:v>3</x:v>
      </x:c>
      <x:c r="B5" s="111" t="str">
        <x:v>BIPIA</x:v>
      </x:c>
      <x:c r="C5" s="111" t="n">
        <x:v>2023</x:v>
      </x:c>
      <x:c r="D5" s="111" t="str">
        <x:v>Benchmark d’injection indirecte</x:v>
      </x:c>
      <x:c r="E5" s="111" t="str">
        <x:v>IPI dans contenu externe</x:v>
      </x:c>
      <x:c r="F5" s="111" t="str">
        <x:v>Tâche + contenu injecté</x:v>
      </x:c>
      <x:c r="G5" s="111" t="str">
        <x:v>Succès de l’attaque selon tâche/type/position</x:v>
      </x:c>
      <x:c r="H5" s="111" t="str">
        <x:v>Plusieurs tâches textuelles</x:v>
      </x:c>
      <x:c r="I5" s="111" t="str">
        <x:v>Premier benchmark systématique IPI ; variation de la position</x:v>
      </x:c>
      <x:c r="J5" s="111" t="str">
        <x:v>Scénarios plus simples que des agents dynamiques avec outils</x:v>
      </x:c>
      <x:c r="K5" s="111" t="str">
        <x:v>https://github.com/microsoft/BIPIA</x:v>
      </x:c>
      <x:c r="L5" s="130" t="str">
        <x:v>https://arxiv.org/abs/2312.14197</x:v>
      </x:c>
    </x:row>
    <x:row r="6" ht="78" customHeight="1">
      <x:c r="A6" s="129" t="n">
        <x:v>4</x:v>
      </x:c>
      <x:c r="B6" s="111" t="str">
        <x:v>Open-Prompt-Injection</x:v>
      </x:c>
      <x:c r="C6" s="111" t="n">
        <x:v>2024</x:v>
      </x:c>
      <x:c r="D6" s="111" t="str">
        <x:v>Framework unifié</x:v>
      </x:c>
      <x:c r="E6" s="111" t="str">
        <x:v>Injection directe / applications LLM</x:v>
      </x:c>
      <x:c r="F6" s="111" t="str">
        <x:v>Attaque × défense × modèle × tâche</x:v>
      </x:c>
      <x:c r="G6" s="111" t="str">
        <x:v>ASR et utilité</x:v>
      </x:c>
      <x:c r="H6" s="111" t="str">
        <x:v>5 attaques, 10 défenses, 10 LLM, 7 tâches</x:v>
      </x:c>
      <x:c r="I6" s="111" t="str">
        <x:v>Comparaison reproductible et extensible</x:v>
      </x:c>
      <x:c r="J6" s="111" t="str">
        <x:v>Les familles et modèles évoluent vite ; nécessite des extensions modernes</x:v>
      </x:c>
      <x:c r="K6" s="111" t="str">
        <x:v>https://github.com/liu00222/Open-Prompt-Injection</x:v>
      </x:c>
      <x:c r="L6" s="130" t="str">
        <x:v>https://www.usenix.org/conference/usenixsecurity24/presentation/liu-yupei</x:v>
      </x:c>
    </x:row>
    <x:row r="7" ht="78" customHeight="1">
      <x:c r="A7" s="129" t="n">
        <x:v>5</x:v>
      </x:c>
      <x:c r="B7" s="111" t="str">
        <x:v>InjecAgent</x:v>
      </x:c>
      <x:c r="C7" s="111" t="n">
        <x:v>2024</x:v>
      </x:c>
      <x:c r="D7" s="111" t="str">
        <x:v>Benchmark d’agents à outils</x:v>
      </x:c>
      <x:c r="E7" s="111" t="str">
        <x:v>IPI via outils</x:v>
      </x:c>
      <x:c r="F7" s="111" t="str">
        <x:v>Cas de test agentique</x:v>
      </x:c>
      <x:c r="G7" s="111" t="str">
        <x:v>Dommage direct ; exfiltration de données</x:v>
      </x:c>
      <x:c r="H7" s="111" t="str">
        <x:v>1 054 cas, 17 outils utilisateur, 62 outils attaquant</x:v>
      </x:c>
      <x:c r="I7" s="111" t="str">
        <x:v>Relie injection, outils et impact réel</x:v>
      </x:c>
      <x:c r="J7" s="111" t="str">
        <x:v>Évaluation surtout au niveau succès de l’attaque, peu de labels linguistiques fins</x:v>
      </x:c>
      <x:c r="K7" s="111" t="str">
        <x:v>Voir ressources du papier</x:v>
      </x:c>
      <x:c r="L7" s="130" t="str">
        <x:v>https://aclanthology.org/2024.findings-acl.624/</x:v>
      </x:c>
    </x:row>
    <x:row r="8" ht="78" customHeight="1">
      <x:c r="A8" s="129" t="n">
        <x:v>6</x:v>
      </x:c>
      <x:c r="B8" s="111" t="str">
        <x:v>AgentDojo</x:v>
      </x:c>
      <x:c r="C8" s="111" t="n">
        <x:v>2024</x:v>
      </x:c>
      <x:c r="D8" s="111" t="str">
        <x:v>Environnement dynamique d’agents</x:v>
      </x:c>
      <x:c r="E8" s="111" t="str">
        <x:v>IPI contre agents à outils</x:v>
      </x:c>
      <x:c r="F8" s="111" t="str">
        <x:v>Tâches interactives</x:v>
      </x:c>
      <x:c r="G8" s="111" t="str">
        <x:v>Task completion ; attack success</x:v>
      </x:c>
      <x:c r="H8" s="111" t="str">
        <x:v>Messagerie, banque, voyage, workspace</x:v>
      </x:c>
      <x:c r="I8" s="111" t="str">
        <x:v>Mesure sécurité et utilité simultanément dans un environnement réaliste</x:v>
      </x:c>
      <x:c r="J8" s="111" t="str">
        <x:v>Plus coûteux qu’un benchmark statique ; dépendance aux modèles/API</x:v>
      </x:c>
      <x:c r="K8" s="111" t="str">
        <x:v>https://github.com/ethz-spylab/agentdojo</x:v>
      </x:c>
      <x:c r="L8" s="130" t="str">
        <x:v>https://arxiv.org/abs/2406.13352</x:v>
      </x:c>
    </x:row>
    <x:row r="9" ht="78" customHeight="1">
      <x:c r="A9" s="129" t="n">
        <x:v>7</x:v>
      </x:c>
      <x:c r="B9" s="111" t="str">
        <x:v>NotInject</x:v>
      </x:c>
      <x:c r="C9" s="111" t="n">
        <x:v>2025</x:v>
      </x:c>
      <x:c r="D9" s="111" t="str">
        <x:v>Hard negatives</x:v>
      </x:c>
      <x:c r="E9" s="111" t="str">
        <x:v>Over-defense</x:v>
      </x:c>
      <x:c r="F9" s="111" t="str">
        <x:v>Prompt bénin</x:v>
      </x:c>
      <x:c r="G9" s="111" t="str">
        <x:v>Bénin malgré des termes déclencheurs</x:v>
      </x:c>
      <x:c r="H9" s="111" t="str">
        <x:v>339 exemples avec vocabulaire d’injection</x:v>
      </x:c>
      <x:c r="I9" s="111" t="str">
        <x:v>Teste directement les raccourcis lexicaux</x:v>
      </x:c>
      <x:c r="J9" s="111" t="str">
        <x:v>Petit ; principalement anglophone ; ne couvre pas toute l’ambiguïté contextuelle</x:v>
      </x:c>
      <x:c r="K9" s="111" t="str">
        <x:v>https://github.com/leolee99/PIGuard</x:v>
      </x:c>
      <x:c r="L9" s="130" t="str">
        <x:v>https://aclanthology.org/2025.acl-long.1468/</x:v>
      </x:c>
    </x:row>
    <x:row r="10" ht="78" customHeight="1">
      <x:c r="A10" s="129" t="n">
        <x:v>8</x:v>
      </x:c>
      <x:c r="B10" s="111" t="str">
        <x:v>PromptShield Benchmark</x:v>
      </x:c>
      <x:c r="C10" s="111" t="n">
        <x:v>2025</x:v>
      </x:c>
      <x:c r="D10" s="111" t="str">
        <x:v>Benchmark de détection déployable</x:v>
      </x:c>
      <x:c r="E10" s="111" t="str">
        <x:v>Injection conversationnelle et structurée</x:v>
      </x:c>
      <x:c r="F10" s="111" t="str">
        <x:v>Entrée applicative</x:v>
      </x:c>
      <x:c r="G10" s="111" t="str">
        <x:v>Injection / bénin</x:v>
      </x:c>
      <x:c r="H10" s="111" t="str">
        <x:v>Données conversationnelles + application-structured</x:v>
      </x:c>
      <x:c r="I10" s="111" t="str">
        <x:v>Évaluation à faible FPR et curation orientée production</x:v>
      </x:c>
      <x:c r="J10" s="111" t="str">
        <x:v>Taxonomie binaire et détails de certaines données à vérifier</x:v>
      </x:c>
      <x:c r="K10" s="111" t="str">
        <x:v>Non clairement indiqué</x:v>
      </x:c>
      <x:c r="L10" s="130" t="str">
        <x:v>https://arxiv.org/abs/2501.15145</x:v>
      </x:c>
    </x:row>
    <x:row r="11" ht="78" customHeight="1">
      <x:c r="A11" s="129" t="n">
        <x:v>9</x:v>
      </x:c>
      <x:c r="B11" s="111" t="str">
        <x:v>CAPTURE</x:v>
      </x:c>
      <x:c r="C11" s="111" t="n">
        <x:v>2025</x:v>
      </x:c>
      <x:c r="D11" s="111" t="str">
        <x:v>Benchmark contextuel</x:v>
      </x:c>
      <x:c r="E11" s="111" t="str">
        <x:v>Attaques dépendantes de l’application</x:v>
      </x:c>
      <x:c r="F11" s="111" t="str">
        <x:v>Contexte + entrée</x:v>
      </x:c>
      <x:c r="G11" s="111" t="str">
        <x:v>Attaque / bénin contextuel ; over-defense</x:v>
      </x:c>
      <x:c r="H11" s="111" t="str">
        <x:v>Scénarios avec peu d’exemples in-domain</x:v>
      </x:c>
      <x:c r="I11" s="111" t="str">
        <x:v>Même forme textuelle évaluée selon le contexte</x:v>
      </x:c>
      <x:c r="J11" s="111" t="str">
        <x:v>Couverture et taille plus limitées que les grands agrégats</x:v>
      </x:c>
      <x:c r="K11" s="111" t="str">
        <x:v>Non indiqué</x:v>
      </x:c>
      <x:c r="L11" s="130" t="str">
        <x:v>https://aclanthology.org/2025.llmsec-1.13/</x:v>
      </x:c>
    </x:row>
    <x:row r="12" ht="78" customHeight="1">
      <x:c r="A12" s="129" t="n">
        <x:v>10</x:v>
      </x:c>
      <x:c r="B12" s="111" t="str">
        <x:v>WAInjectBench</x:v>
      </x:c>
      <x:c r="C12" s="111" t="n">
        <x:v>2025</x:v>
      </x:c>
      <x:c r="D12" s="111" t="str">
        <x:v>Benchmark multimodal web-agent</x:v>
      </x:c>
      <x:c r="E12" s="111" t="str">
        <x:v>Injection texte et image contre agents web</x:v>
      </x:c>
      <x:c r="F12" s="111" t="str">
        <x:v>Segment texte ou image</x:v>
      </x:c>
      <x:c r="G12" s="111" t="str">
        <x:v>Malveillant / bénin ; catégories de menace</x:v>
      </x:c>
      <x:c r="H12" s="111" t="str">
        <x:v>Agents web, attaques visibles et imperceptibles</x:v>
      </x:c>
      <x:c r="I12" s="111" t="str">
        <x:v>Évalue les détecteurs texte et image sur une même surface web</x:v>
      </x:c>
      <x:c r="J12" s="111" t="str">
        <x:v>Prépublication ; domaine web spécifique</x:v>
      </x:c>
      <x:c r="K12" s="111" t="str">
        <x:v>https://github.com/Norrrrrrr-lyn/WAInjectBench</x:v>
      </x:c>
      <x:c r="L12" s="130" t="str">
        <x:v>https://arxiv.org/abs/2510.01354</x:v>
      </x:c>
    </x:row>
    <x:row r="13" ht="78" customHeight="1">
      <x:c r="A13" s="129" t="n">
        <x:v>11</x:v>
      </x:c>
      <x:c r="B13" s="111" t="str">
        <x:v>FIPI</x:v>
      </x:c>
      <x:c r="C13" s="111" t="n">
        <x:v>2026</x:v>
      </x:c>
      <x:c r="D13" s="111" t="str">
        <x:v>Dataset token-level IPI</x:v>
      </x:c>
      <x:c r="E13" s="111" t="str">
        <x:v>Injection indirecte</x:v>
      </x:c>
      <x:c r="F13" s="111" t="str">
        <x:v>Token / document</x:v>
      </x:c>
      <x:c r="G13" s="111" t="str">
        <x:v>Token injecté / bénin ; document contaminé</x:v>
      </x:c>
      <x:c r="H13" s="111" t="str">
        <x:v>Données externes pour plusieurs LLM</x:v>
      </x:c>
      <x:c r="I13" s="111" t="str">
        <x:v>Annotations fines permettant détection et sanitisation</x:v>
      </x:c>
      <x:c r="J13" s="111" t="str">
        <x:v>Construction synthétique/procédurale à confronter à des attaques humaines réelles</x:v>
      </x:c>
      <x:c r="K13" s="111" t="str">
        <x:v>Annoncé comme open source par les auteurs</x:v>
      </x:c>
      <x:c r="L13" s="130" t="str">
        <x:v>https://www.ndss-symposium.org/ndss-paper/attention-is-all-you-need-to-defend-against-indirect-prompt-injection-attacks-in-llms/</x:v>
      </x:c>
    </x:row>
    <x:row r="14" ht="78" customHeight="1">
      <x:c r="A14" s="129" t="n">
        <x:v>12</x:v>
      </x:c>
      <x:c r="B14" s="111" t="str">
        <x:v>AlignSentinel Benchmark</x:v>
      </x:c>
      <x:c r="C14" s="111" t="n">
        <x:v>2026</x:v>
      </x:c>
      <x:c r="D14" s="111" t="str">
        <x:v>Benchmark d’alignement instructionnel</x:v>
      </x:c>
      <x:c r="E14" s="111" t="str">
        <x:v>Directe et indirecte</x:v>
      </x:c>
      <x:c r="F14" s="111" t="str">
        <x:v>Contexte + entrée</x:v>
      </x:c>
      <x:c r="G14" s="111" t="str">
        <x:v>Misaligned instruction / aligned instruction / non-instruction</x:v>
      </x:c>
      <x:c r="H14" s="111" t="str">
        <x:v>Huit domaines annoncés dans le travail</x:v>
      </x:c>
      <x:c r="I14" s="111" t="str">
        <x:v>Première taxonomie explicitement centrée sur l’alignement</x:v>
      </x:c>
      <x:c r="J14" s="111" t="str">
        <x:v>Prépublication récente ; annotation d’alignement potentiellement subjective</x:v>
      </x:c>
      <x:c r="K14" s="111" t="str">
        <x:v>Non indiqué</x:v>
      </x:c>
      <x:c r="L14" s="130" t="str">
        <x:v>https://arxiv.org/abs/2602.13597</x:v>
      </x:c>
    </x:row>
    <x:row r="15" ht="78" customHeight="1">
      <x:c r="A15" s="131" t="n">
        <x:v>13</x:v>
      </x:c>
      <x:c r="B15" s="132" t="str">
        <x:v>LODO Prompt-Mining Benchmark</x:v>
      </x:c>
      <x:c r="C15" s="132" t="n">
        <x:v>2026</x:v>
      </x:c>
      <x:c r="D15" s="132" t="str">
        <x:v>Agrégat d’évaluation OOD</x:v>
      </x:c>
      <x:c r="E15" s="132" t="str">
        <x:v>Injection, jailbreak, extraction et agentic tool injection</x:v>
      </x:c>
      <x:c r="F15" s="132" t="str">
        <x:v>Dataset complet tenu hors train</x:v>
      </x:c>
      <x:c r="G15" s="132" t="str">
        <x:v>Performance de détection hors distribution</x:v>
      </x:c>
      <x:c r="H15" s="132" t="str">
        <x:v>18 datasets</x:v>
      </x:c>
      <x:c r="I15" s="132" t="str">
        <x:v>Mesure la généralisation réelle entre sources de données</x:v>
      </x:c>
      <x:c r="J15" s="132" t="str">
        <x:v>Hétérogénéité des labels et mélange de menaces distinctes</x:v>
      </x:c>
      <x:c r="K15" s="132" t="str">
        <x:v>https://github.com/maxf-zn/prompt-mining</x:v>
      </x:c>
      <x:c r="L15" s="133" t="str">
        <x:v>https://arxiv.org/abs/2602.14161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d25b065aac39435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8" hidden="0" customWidth="1"/>
    <x:col min="3" max="3" width="30" hidden="0" customWidth="1"/>
    <x:col min="4" max="4" width="27" hidden="0" customWidth="1"/>
    <x:col min="5" max="5" width="27" hidden="0" customWidth="1"/>
    <x:col min="6" max="6" width="27" hidden="0" customWidth="1"/>
    <x:col min="7" max="7" width="27" hidden="0" customWidth="1"/>
    <x:col min="8" max="8" width="27" hidden="0" customWidth="1"/>
  </x:cols>
  <x:sheetData>
    <x:row r="1" ht="28" customHeight="1">
      <x:c r="A1" s="106" t="str">
        <x:v>Synthèse pour le positionnement de PromptSec-FM</x:v>
      </x:c>
      <x:c r="B1" s="106"/>
      <x:c r="C1" s="106"/>
      <x:c r="D1" s="106"/>
      <x:c r="E1" s="106"/>
      <x:c r="F1" s="106"/>
      <x:c r="G1" s="106"/>
      <x:c r="H1" s="106"/>
    </x:row>
    <x:row r="2">
      <x:c r="A2" s="142"/>
      <x:c r="B2" s="142"/>
      <x:c r="C2" s="142"/>
      <x:c r="D2" s="142"/>
      <x:c r="E2" s="142"/>
      <x:c r="F2" s="142"/>
      <x:c r="G2" s="142"/>
      <x:c r="H2" s="142"/>
    </x:row>
    <x:row r="3">
      <x:c r="A3" s="143" t="str">
        <x:v>Indicateur</x:v>
      </x:c>
      <x:c r="B3" s="144" t="str">
        <x:v>Valeur</x:v>
      </x:c>
      <x:c r="C3" s="142"/>
      <x:c r="D3" s="126" t="str">
        <x:v>Axe scientifique</x:v>
      </x:c>
      <x:c r="E3" s="127" t="str">
        <x:v>État de l’art</x:v>
      </x:c>
      <x:c r="F3" s="127" t="str">
        <x:v>Manque identifié</x:v>
      </x:c>
      <x:c r="G3" s="127" t="str">
        <x:v>Contribution PromptSec-FM</x:v>
      </x:c>
      <x:c r="H3" s="128" t="str">
        <x:v>Travaux d’appui</x:v>
      </x:c>
    </x:row>
    <x:row r="4" ht="68" customHeight="1">
      <x:c r="A4" s="145" t="str">
        <x:v>Travaux comparés</x:v>
      </x:c>
      <x:c r="B4" s="146" t="n">
        <x:f>COUNTA(Matrice_methodes!B3:B20)</x:f>
        <x:v>18</x:v>
      </x:c>
      <x:c r="C4" s="142"/>
      <x:c r="D4" s="129" t="str">
        <x:v>Détection globale</x:v>
      </x:c>
      <x:c r="E4" s="111" t="str">
        <x:v>Nombreux guards binaires performants in-domain</x:v>
      </x:c>
      <x:c r="F4" s="111" t="str">
        <x:v>Biais lexicaux et mélange injection/jailbreak</x:v>
      </x:c>
      <x:c r="G4" s="111" t="str">
        <x:v>Tête globale dérivée d’une représentation contextuelle</x:v>
      </x:c>
      <x:c r="H4" s="130" t="str">
        <x:v>PromptShield, PIGuard, Sentinel</x:v>
      </x:c>
    </x:row>
    <x:row r="5" ht="68" customHeight="1">
      <x:c r="A5" s="145" t="str">
        <x:v>Benchmarks/datasets</x:v>
      </x:c>
      <x:c r="B5" s="146" t="n">
        <x:f>COUNTA(Benchmarks_datasets!B3:B15)</x:f>
        <x:v>13</x:v>
      </x:c>
      <x:c r="C5" s="142"/>
      <x:c r="D5" s="129" t="str">
        <x:v>Alignement avec la tâche</x:v>
      </x:c>
      <x:c r="E5" s="111" t="str">
        <x:v>Task Shield et AlignSentinel formalisent l’alignement</x:v>
      </x:c>
      <x:c r="F5" s="111" t="str">
        <x:v>Peu de modèles unifient tâche, source et contenu</x:v>
      </x:c>
      <x:c r="G5" s="111" t="str">
        <x:v>NO / ALIGNED / MISALIGNED / AMBIGUOUS</x:v>
      </x:c>
      <x:c r="H5" s="130" t="str">
        <x:v>Task Shield, AlignSentinel, PromptSleuth</x:v>
      </x:c>
    </x:row>
    <x:row r="6" ht="68" customHeight="1">
      <x:c r="A6" s="145" t="str">
        <x:v>Travaux évalués par les pairs</x:v>
      </x:c>
      <x:c r="B6" s="146" t="n">
        <x:f>COUNTIF(Matrice_methodes!D3:D20,"&lt;&gt;*Prépublication*")</x:f>
        <x:v>18</x:v>
      </x:c>
      <x:c r="C6" s="142"/>
      <x:c r="D6" s="129" t="str">
        <x:v>Provenance et autorité</x:v>
      </x:c>
      <x:c r="E6" s="111" t="str">
        <x:v>Role Confusion montre un écart rôle technique / rôle latent</x:v>
      </x:c>
      <x:c r="F6" s="111" t="str">
        <x:v>Labels de source et d’autorité rarement supervisés</x:v>
      </x:c>
      <x:c r="G6" s="111" t="str">
        <x:v>Têtes source réelle, autorité revendiquée et spoofing</x:v>
      </x:c>
      <x:c r="H6" s="130" t="str">
        <x:v>Role Confusion, RAP-ID</x:v>
      </x:c>
    </x:row>
    <x:row r="7" ht="68" customHeight="1">
      <x:c r="A7" s="145" t="str">
        <x:v>Prépublications récentes</x:v>
      </x:c>
      <x:c r="B7" s="146" t="n">
        <x:f>COUNTIF(Matrice_methodes!D3:D20,"*Prépublication*")</x:f>
        <x:v>0</x:v>
      </x:c>
      <x:c r="C7" s="142"/>
      <x:c r="D7" s="129" t="str">
        <x:v>Localisation</x:v>
      </x:c>
      <x:c r="E7" s="111" t="str">
        <x:v>Détection span/token encore minoritaire</x:v>
      </x:c>
      <x:c r="F7" s="111" t="str">
        <x:v>Peu de corpus humains token-level et multilingues</x:v>
      </x:c>
      <x:c r="G7" s="111" t="str">
        <x:v>Token classification + extraction de spans</x:v>
      </x:c>
      <x:c r="H7" s="130" t="str">
        <x:v>Chen et al., RENNERVATE/FIPI</x:v>
      </x:c>
    </x:row>
    <x:row r="8" ht="68" customHeight="1">
      <x:c r="A8" s="147" t="str">
        <x:v>Travaux avec code/données identifiés</x:v>
      </x:c>
      <x:c r="B8" s="148" t="n">
        <x:f>COUNTIF(Matrice_methodes!N3:N20,"http*")</x:f>
        <x:v>0</x:v>
      </x:c>
      <x:c r="C8" s="142"/>
      <x:c r="D8" s="129" t="str">
        <x:v>Signaux internes</x:v>
      </x:c>
      <x:c r="E8" s="111" t="str">
        <x:v>Attention et hidden states sont discriminants</x:v>
      </x:c>
      <x:c r="F8" s="111" t="str">
        <x:v>Transfert intermodèle et API fermées non résolus</x:v>
      </x:c>
      <x:c r="G8" s="111" t="str">
        <x:v>Encodeur autonome + sondes internes optionnelles</x:v>
      </x:c>
      <x:c r="H8" s="130" t="str">
        <x:v>Attention Tracker, InstructDetector, PIShield, RAP-ID</x:v>
      </x:c>
    </x:row>
    <x:row r="9" ht="68" customHeight="1">
      <x:c r="A9" s="142"/>
      <x:c r="B9" s="142"/>
      <x:c r="C9" s="142"/>
      <x:c r="D9" s="129" t="str">
        <x:v>Robustesse OOD</x:v>
      </x:c>
      <x:c r="E9" s="111" t="str">
        <x:v>Splits aléatoires surestiment les performances</x:v>
      </x:c>
      <x:c r="F9" s="111" t="str">
        <x:v>Peu de LODO, cross-language et cross-family</x:v>
      </x:c>
      <x:c r="G9" s="111" t="str">
        <x:v>LODO + leave-one-family/language/domain-out</x:v>
      </x:c>
      <x:c r="H9" s="130" t="str">
        <x:v>When Benchmarks Lie, DataSentinel</x:v>
      </x:c>
    </x:row>
    <x:row r="10" ht="68" customHeight="1">
      <x:c r="A10" s="142"/>
      <x:c r="B10" s="142"/>
      <x:c r="C10" s="142"/>
      <x:c r="D10" s="131" t="str">
        <x:v>Multilingue</x:v>
      </x:c>
      <x:c r="E10" s="132" t="str">
        <x:v>Données majoritairement anglophones</x:v>
      </x:c>
      <x:c r="F10" s="132" t="str">
        <x:v>Manque de hard negatives et d’attaques naturelles FR/multilingues</x:v>
      </x:c>
      <x:c r="G10" s="132" t="str">
        <x:v>Préentraînement contrastif et corpus multilingue</x:v>
      </x:c>
      <x:c r="H10" s="133" t="str">
        <x:v>Axe encore peu couvert par les travaux centraux</x:v>
      </x:c>
    </x:row>
    <x:row r="11">
      <x:c r="A11" s="149" t="str">
        <x:v>Protocole minimal recommandé</x:v>
      </x:c>
      <x:c r="B11" s="149"/>
      <x:c r="C11" s="149"/>
      <x:c r="D11" s="149"/>
      <x:c r="E11" s="149"/>
      <x:c r="F11" s="149"/>
      <x:c r="G11" s="149"/>
      <x:c r="H11" s="149"/>
    </x:row>
    <x:row r="12" ht="46" customHeight="1">
      <x:c r="A12" s="150" t="str">
        <x:v>1</x:v>
      </x:c>
      <x:c r="B12" s="151" t="str">
        <x:v>Baseline lexicale</x:v>
      </x:c>
      <x:c r="C12" s="151" t="str">
        <x:v>TF-IDF + régression logistique</x:v>
      </x:c>
      <x:c r="D12" s="151" t="str">
        <x:v>Embeddings + XGBoost</x:v>
      </x:c>
      <x:c r="E12" s="151" t="str">
        <x:v>Encodeur fine-tuné</x:v>
      </x:c>
      <x:c r="F12" s="151" t="str">
        <x:v>LLM-as-judge</x:v>
      </x:c>
      <x:c r="G12" s="151" t="str">
        <x:v>Signaux internes</x:v>
      </x:c>
      <x:c r="H12" s="152" t="str">
        <x:v>PromptSec-FM</x:v>
      </x:c>
    </x:row>
    <x:row r="13" ht="46" customHeight="1">
      <x:c r="A13" s="153" t="str">
        <x:v>2</x:v>
      </x:c>
      <x:c r="B13" s="111" t="str">
        <x:v>Split aléatoire (référence seulement)</x:v>
      </x:c>
      <x:c r="C13" s="111" t="str">
        <x:v>Leave-one-dataset-out</x:v>
      </x:c>
      <x:c r="D13" s="111" t="str">
        <x:v>Leave-one-family-out</x:v>
      </x:c>
      <x:c r="E13" s="111" t="str">
        <x:v>Leave-one-language-out</x:v>
      </x:c>
      <x:c r="F13" s="111" t="str">
        <x:v>Cross-domain</x:v>
      </x:c>
      <x:c r="G13" s="111" t="str">
        <x:v>Contexte long</x:v>
      </x:c>
      <x:c r="H13" s="154" t="str">
        <x:v>Attaque adaptative</x:v>
      </x:c>
    </x:row>
    <x:row r="14" ht="46" customHeight="1">
      <x:c r="A14" s="153" t="str">
        <x:v>3</x:v>
      </x:c>
      <x:c r="B14" s="111" t="str">
        <x:v>Macro-F1</x:v>
      </x:c>
      <x:c r="C14" s="111" t="str">
        <x:v>AUPRC</x:v>
      </x:c>
      <x:c r="D14" s="111" t="str">
        <x:v>Recall@FPR=1 %</x:v>
      </x:c>
      <x:c r="E14" s="111" t="str">
        <x:v>ECE / calibration</x:v>
      </x:c>
      <x:c r="F14" s="111" t="str">
        <x:v>Span-F1</x:v>
      </x:c>
      <x:c r="G14" s="111" t="str">
        <x:v>ASR</x:v>
      </x:c>
      <x:c r="H14" s="154" t="str">
        <x:v>Task utility</x:v>
      </x:c>
    </x:row>
    <x:row r="15" ht="46" customHeight="1">
      <x:c r="A15" s="153" t="str">
        <x:v>4</x:v>
      </x:c>
      <x:c r="B15" s="111" t="str">
        <x:v>PromptInject / Open-PI</x:v>
      </x:c>
      <x:c r="C15" s="111" t="str">
        <x:v>BIPIA</x:v>
      </x:c>
      <x:c r="D15" s="111" t="str">
        <x:v>AgentDojo</x:v>
      </x:c>
      <x:c r="E15" s="111" t="str">
        <x:v>NotInject</x:v>
      </x:c>
      <x:c r="F15" s="111" t="str">
        <x:v>CAPTURE</x:v>
      </x:c>
      <x:c r="G15" s="111" t="str">
        <x:v>FIPI</x:v>
      </x:c>
      <x:c r="H15" s="154" t="str">
        <x:v>AlignSentinel</x:v>
      </x:c>
    </x:row>
    <x:row r="16" ht="46" customHeight="1">
      <x:c r="A16" s="153" t="str">
        <x:v>5</x:v>
      </x:c>
      <x:c r="B16" s="111" t="str">
        <x:v>Anglais</x:v>
      </x:c>
      <x:c r="C16" s="111" t="str">
        <x:v>Français</x:v>
      </x:c>
      <x:c r="D16" s="111" t="str">
        <x:v>Espagnol ou allemand</x:v>
      </x:c>
      <x:c r="E16" s="111" t="str">
        <x:v>Obfuscation Unicode</x:v>
      </x:c>
      <x:c r="F16" s="111" t="str">
        <x:v>Paraphrase</x:v>
      </x:c>
      <x:c r="G16" s="111" t="str">
        <x:v>Attaque multitâche</x:v>
      </x:c>
      <x:c r="H16" s="154" t="str">
        <x:v>Instruction alignée</x:v>
      </x:c>
    </x:row>
    <x:row r="17" ht="46" customHeight="1">
      <x:c r="A17" s="153" t="str">
        <x:v>6</x:v>
      </x:c>
      <x:c r="B17" s="111" t="str">
        <x:v>Ablation sans provenance</x:v>
      </x:c>
      <x:c r="C17" s="111" t="str">
        <x:v>Sans tête span</x:v>
      </x:c>
      <x:c r="D17" s="111" t="str">
        <x:v>Sans multitâche</x:v>
      </x:c>
      <x:c r="E17" s="111" t="str">
        <x:v>Sans hard negatives</x:v>
      </x:c>
      <x:c r="F17" s="111" t="str">
        <x:v>Sans contraste multilingue</x:v>
      </x:c>
      <x:c r="G17" s="111" t="str">
        <x:v>Sans entraînement adversarial</x:v>
      </x:c>
      <x:c r="H17" s="154" t="str">
        <x:v>Modèle complet</x:v>
      </x:c>
    </x:row>
    <x:row r="18" ht="46" customHeight="1">
      <x:c r="A18" s="155" t="str">
        <x:v>7</x:v>
      </x:c>
      <x:c r="B18" s="156" t="str">
        <x:v>Rapport des moyennes</x:v>
      </x:c>
      <x:c r="C18" s="156" t="str">
        <x:v>Intervalles de confiance</x:v>
      </x:c>
      <x:c r="D18" s="156" t="str">
        <x:v>Courbes seuil/FPR</x:v>
      </x:c>
      <x:c r="E18" s="156" t="str">
        <x:v>Matrice de confusion</x:v>
      </x:c>
      <x:c r="F18" s="156" t="str">
        <x:v>Analyse d’erreurs</x:v>
      </x:c>
      <x:c r="G18" s="156" t="str">
        <x:v>Coût/latence</x:v>
      </x:c>
      <x:c r="H18" s="157" t="str">
        <x:v>Reproductibilité</x:v>
      </x:c>
    </x:row>
  </x:sheetData>
  <x:mergeCells>
    <x:mergeCell ref="A1:H1"/>
    <x:mergeCell ref="A11:H11"/>
  </x:mergeCells>
  <x:pageMargins left="0.7" right="0.7" top="0.75" bottom="0.75" header="0.3" footer="0.3"/>
</x:worksheet>
</file>